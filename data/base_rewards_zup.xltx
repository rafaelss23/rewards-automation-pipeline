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ário\Documents\"/>
    </mc:Choice>
  </mc:AlternateContent>
  <xr:revisionPtr revIDLastSave="0" documentId="13_ncr:1_{43007D70-61F1-4D11-93D9-0A3A1CF754FE}" xr6:coauthVersionLast="47" xr6:coauthVersionMax="47" xr10:uidLastSave="{00000000-0000-0000-0000-000000000000}"/>
  <bookViews>
    <workbookView xWindow="-120" yWindow="-120" windowWidth="29040" windowHeight="15720" xr2:uid="{DDB3F72C-22EE-4667-9B3C-8CD89FC652D3}"/>
  </bookViews>
  <sheets>
    <sheet name="Reward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14" i="1" l="1"/>
  <c r="P11" i="1"/>
  <c r="P8" i="1"/>
  <c r="P4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2" i="1"/>
  <c r="J4" i="1"/>
  <c r="J5" i="1"/>
  <c r="J6" i="1"/>
  <c r="J7" i="1"/>
  <c r="J8" i="1"/>
  <c r="J9" i="1"/>
  <c r="J10" i="1"/>
  <c r="J11" i="1"/>
  <c r="K11" i="1" s="1"/>
  <c r="J12" i="1"/>
  <c r="J13" i="1"/>
  <c r="J14" i="1"/>
  <c r="J15" i="1"/>
  <c r="J16" i="1"/>
  <c r="J17" i="1"/>
  <c r="J18" i="1"/>
  <c r="J19" i="1"/>
  <c r="K19" i="1" s="1"/>
  <c r="J20" i="1"/>
  <c r="J21" i="1"/>
  <c r="J22" i="1"/>
  <c r="J23" i="1"/>
  <c r="J24" i="1"/>
  <c r="J25" i="1"/>
  <c r="J26" i="1"/>
  <c r="J27" i="1"/>
  <c r="K27" i="1" s="1"/>
  <c r="J28" i="1"/>
  <c r="J29" i="1"/>
  <c r="J30" i="1"/>
  <c r="J31" i="1"/>
  <c r="J32" i="1"/>
  <c r="J33" i="1"/>
  <c r="J34" i="1"/>
  <c r="J35" i="1"/>
  <c r="K35" i="1" s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K51" i="1" s="1"/>
  <c r="J52" i="1"/>
  <c r="J53" i="1"/>
  <c r="J54" i="1"/>
  <c r="J55" i="1"/>
  <c r="J56" i="1"/>
  <c r="J57" i="1"/>
  <c r="J58" i="1"/>
  <c r="J59" i="1"/>
  <c r="K59" i="1" s="1"/>
  <c r="J60" i="1"/>
  <c r="J61" i="1"/>
  <c r="J62" i="1"/>
  <c r="J63" i="1"/>
  <c r="J64" i="1"/>
  <c r="J65" i="1"/>
  <c r="J66" i="1"/>
  <c r="J67" i="1"/>
  <c r="K67" i="1" s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K83" i="1" s="1"/>
  <c r="J84" i="1"/>
  <c r="J85" i="1"/>
  <c r="J86" i="1"/>
  <c r="J87" i="1"/>
  <c r="J88" i="1"/>
  <c r="J89" i="1"/>
  <c r="J90" i="1"/>
  <c r="J91" i="1"/>
  <c r="K91" i="1" s="1"/>
  <c r="J92" i="1"/>
  <c r="J93" i="1"/>
  <c r="J94" i="1"/>
  <c r="J95" i="1"/>
  <c r="J96" i="1"/>
  <c r="J97" i="1"/>
  <c r="J98" i="1"/>
  <c r="J99" i="1"/>
  <c r="K99" i="1" s="1"/>
  <c r="J100" i="1"/>
  <c r="J101" i="1"/>
  <c r="J102" i="1"/>
  <c r="J103" i="1"/>
  <c r="J104" i="1"/>
  <c r="J105" i="1"/>
  <c r="J106" i="1"/>
  <c r="J107" i="1"/>
  <c r="K107" i="1" s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K123" i="1" s="1"/>
  <c r="J124" i="1"/>
  <c r="J125" i="1"/>
  <c r="J126" i="1"/>
  <c r="J127" i="1"/>
  <c r="J128" i="1"/>
  <c r="J129" i="1"/>
  <c r="J130" i="1"/>
  <c r="J131" i="1"/>
  <c r="K131" i="1" s="1"/>
  <c r="J132" i="1"/>
  <c r="J133" i="1"/>
  <c r="J134" i="1"/>
  <c r="J135" i="1"/>
  <c r="J136" i="1"/>
  <c r="J137" i="1"/>
  <c r="J138" i="1"/>
  <c r="J139" i="1"/>
  <c r="K139" i="1" s="1"/>
  <c r="J140" i="1"/>
  <c r="J141" i="1"/>
  <c r="J142" i="1"/>
  <c r="J143" i="1"/>
  <c r="J144" i="1"/>
  <c r="J145" i="1"/>
  <c r="J146" i="1"/>
  <c r="J147" i="1"/>
  <c r="K147" i="1" s="1"/>
  <c r="J148" i="1"/>
  <c r="J149" i="1"/>
  <c r="J150" i="1"/>
  <c r="J151" i="1"/>
  <c r="K43" i="1"/>
  <c r="K115" i="1"/>
  <c r="J3" i="1"/>
  <c r="K10" i="1"/>
  <c r="K18" i="1"/>
  <c r="K26" i="1"/>
  <c r="K34" i="1"/>
  <c r="K42" i="1"/>
  <c r="K50" i="1"/>
  <c r="K58" i="1"/>
  <c r="K66" i="1"/>
  <c r="K74" i="1"/>
  <c r="K82" i="1"/>
  <c r="K90" i="1"/>
  <c r="K98" i="1"/>
  <c r="K106" i="1"/>
  <c r="K114" i="1"/>
  <c r="K122" i="1"/>
  <c r="K130" i="1"/>
  <c r="K138" i="1"/>
  <c r="K146" i="1"/>
  <c r="J2" i="1"/>
  <c r="K2" i="1" s="1"/>
  <c r="K3" i="1"/>
  <c r="K4" i="1"/>
  <c r="K5" i="1"/>
  <c r="K6" i="1"/>
  <c r="K7" i="1"/>
  <c r="K8" i="1"/>
  <c r="K9" i="1"/>
  <c r="K12" i="1"/>
  <c r="K13" i="1"/>
  <c r="K14" i="1"/>
  <c r="K15" i="1"/>
  <c r="K16" i="1"/>
  <c r="K17" i="1"/>
  <c r="K20" i="1"/>
  <c r="K21" i="1"/>
  <c r="K22" i="1"/>
  <c r="K23" i="1"/>
  <c r="K24" i="1"/>
  <c r="K25" i="1"/>
  <c r="K28" i="1"/>
  <c r="K29" i="1"/>
  <c r="K30" i="1"/>
  <c r="K31" i="1"/>
  <c r="K32" i="1"/>
  <c r="K33" i="1"/>
  <c r="K36" i="1"/>
  <c r="K37" i="1"/>
  <c r="K38" i="1"/>
  <c r="K39" i="1"/>
  <c r="K40" i="1"/>
  <c r="K41" i="1"/>
  <c r="K44" i="1"/>
  <c r="K45" i="1"/>
  <c r="K46" i="1"/>
  <c r="K47" i="1"/>
  <c r="K48" i="1"/>
  <c r="K49" i="1"/>
  <c r="K52" i="1"/>
  <c r="K53" i="1"/>
  <c r="K54" i="1"/>
  <c r="K55" i="1"/>
  <c r="K56" i="1"/>
  <c r="K57" i="1"/>
  <c r="K60" i="1"/>
  <c r="K61" i="1"/>
  <c r="K62" i="1"/>
  <c r="K63" i="1"/>
  <c r="K64" i="1"/>
  <c r="K65" i="1"/>
  <c r="K68" i="1"/>
  <c r="K69" i="1"/>
  <c r="K70" i="1"/>
  <c r="K71" i="1"/>
  <c r="K72" i="1"/>
  <c r="K73" i="1"/>
  <c r="K75" i="1"/>
  <c r="K76" i="1"/>
  <c r="K77" i="1"/>
  <c r="K78" i="1"/>
  <c r="K79" i="1"/>
  <c r="K80" i="1"/>
  <c r="K81" i="1"/>
  <c r="K84" i="1"/>
  <c r="K85" i="1"/>
  <c r="K86" i="1"/>
  <c r="K87" i="1"/>
  <c r="K88" i="1"/>
  <c r="K89" i="1"/>
  <c r="K92" i="1"/>
  <c r="K93" i="1"/>
  <c r="K94" i="1"/>
  <c r="K95" i="1"/>
  <c r="K96" i="1"/>
  <c r="K97" i="1"/>
  <c r="K100" i="1"/>
  <c r="K101" i="1"/>
  <c r="K102" i="1"/>
  <c r="K103" i="1"/>
  <c r="K104" i="1"/>
  <c r="K105" i="1"/>
  <c r="K108" i="1"/>
  <c r="K109" i="1"/>
  <c r="K110" i="1"/>
  <c r="K111" i="1"/>
  <c r="K112" i="1"/>
  <c r="K113" i="1"/>
  <c r="K116" i="1"/>
  <c r="K117" i="1"/>
  <c r="K118" i="1"/>
  <c r="K119" i="1"/>
  <c r="K120" i="1"/>
  <c r="K121" i="1"/>
  <c r="K124" i="1"/>
  <c r="K125" i="1"/>
  <c r="K126" i="1"/>
  <c r="K127" i="1"/>
  <c r="K128" i="1"/>
  <c r="K129" i="1"/>
  <c r="K132" i="1"/>
  <c r="K133" i="1"/>
  <c r="K134" i="1"/>
  <c r="K135" i="1"/>
  <c r="K136" i="1"/>
  <c r="K137" i="1"/>
  <c r="K140" i="1"/>
  <c r="K141" i="1"/>
  <c r="K142" i="1"/>
  <c r="K143" i="1"/>
  <c r="K144" i="1"/>
  <c r="K145" i="1"/>
  <c r="K148" i="1"/>
  <c r="K149" i="1"/>
  <c r="K150" i="1"/>
  <c r="K151" i="1"/>
</calcChain>
</file>

<file path=xl/sharedStrings.xml><?xml version="1.0" encoding="utf-8"?>
<sst xmlns="http://schemas.openxmlformats.org/spreadsheetml/2006/main" count="617" uniqueCount="179">
  <si>
    <t>ID_Zupper</t>
  </si>
  <si>
    <t>Area</t>
  </si>
  <si>
    <t>Cargo</t>
  </si>
  <si>
    <t>Salario_Atual</t>
  </si>
  <si>
    <t>Midpoint_Mercado</t>
  </si>
  <si>
    <t>VR_VA</t>
  </si>
  <si>
    <t>Plano_Saude</t>
  </si>
  <si>
    <t>Auxilio_HomeOffice</t>
  </si>
  <si>
    <t>Status</t>
  </si>
  <si>
    <t>ZUP-1001</t>
  </si>
  <si>
    <t>Rewards &amp; People</t>
  </si>
  <si>
    <t>Analista Junior</t>
  </si>
  <si>
    <t>Ativo</t>
  </si>
  <si>
    <t>ZUP-1002</t>
  </si>
  <si>
    <t>Produto</t>
  </si>
  <si>
    <t>Analista Pleno</t>
  </si>
  <si>
    <t>ZUP-1003</t>
  </si>
  <si>
    <t>Data &amp; AI</t>
  </si>
  <si>
    <t>Analista Senior</t>
  </si>
  <si>
    <t>ZUP-1004</t>
  </si>
  <si>
    <t>Estagiario</t>
  </si>
  <si>
    <t>ZUP-1005</t>
  </si>
  <si>
    <t>Engenharia de Software</t>
  </si>
  <si>
    <t>Lider Tecnico</t>
  </si>
  <si>
    <t>ZUP-1006</t>
  </si>
  <si>
    <t>ZUP-1007</t>
  </si>
  <si>
    <t>ZUP-1008</t>
  </si>
  <si>
    <t>Design &amp; UX</t>
  </si>
  <si>
    <t>ZUP-1009</t>
  </si>
  <si>
    <t>ZUP-1010</t>
  </si>
  <si>
    <t>ZUP-1011</t>
  </si>
  <si>
    <t>ZUP-1012</t>
  </si>
  <si>
    <t>ZUP-1013</t>
  </si>
  <si>
    <t>Especialista</t>
  </si>
  <si>
    <t>ZUP-1014</t>
  </si>
  <si>
    <t>ZUP-1015</t>
  </si>
  <si>
    <t>ZUP-1016</t>
  </si>
  <si>
    <t>ZUP-1017</t>
  </si>
  <si>
    <t>ZUP-1018</t>
  </si>
  <si>
    <t>ZUP-1019</t>
  </si>
  <si>
    <t>ZUP-1020</t>
  </si>
  <si>
    <t>ZUP-1021</t>
  </si>
  <si>
    <t>ZUP-1022</t>
  </si>
  <si>
    <t>ZUP-1023</t>
  </si>
  <si>
    <t>ZUP-1024</t>
  </si>
  <si>
    <t>ZUP-1025</t>
  </si>
  <si>
    <t>ZUP-1026</t>
  </si>
  <si>
    <t>ZUP-1027</t>
  </si>
  <si>
    <t>ZUP-1028</t>
  </si>
  <si>
    <t>ZUP-1029</t>
  </si>
  <si>
    <t>ZUP-1030</t>
  </si>
  <si>
    <t>ZUP-1031</t>
  </si>
  <si>
    <t>ZUP-1032</t>
  </si>
  <si>
    <t>ZUP-1033</t>
  </si>
  <si>
    <t>ZUP-1034</t>
  </si>
  <si>
    <t>ZUP-1035</t>
  </si>
  <si>
    <t>ZUP-1036</t>
  </si>
  <si>
    <t>ZUP-1037</t>
  </si>
  <si>
    <t>ZUP-1038</t>
  </si>
  <si>
    <t>ZUP-1039</t>
  </si>
  <si>
    <t>ZUP-1040</t>
  </si>
  <si>
    <t>ZUP-1041</t>
  </si>
  <si>
    <t>ZUP-1042</t>
  </si>
  <si>
    <t>ZUP-1043</t>
  </si>
  <si>
    <t>ZUP-1044</t>
  </si>
  <si>
    <t>ZUP-1045</t>
  </si>
  <si>
    <t>ZUP-1046</t>
  </si>
  <si>
    <t>ZUP-1047</t>
  </si>
  <si>
    <t>ZUP-1048</t>
  </si>
  <si>
    <t>ZUP-1049</t>
  </si>
  <si>
    <t>ZUP-1050</t>
  </si>
  <si>
    <t>ZUP-1051</t>
  </si>
  <si>
    <t>ZUP-1052</t>
  </si>
  <si>
    <t>ZUP-1053</t>
  </si>
  <si>
    <t>ZUP-1054</t>
  </si>
  <si>
    <t>ZUP-1055</t>
  </si>
  <si>
    <t>ZUP-1056</t>
  </si>
  <si>
    <t>ZUP-1057</t>
  </si>
  <si>
    <t>ZUP-1058</t>
  </si>
  <si>
    <t>ZUP-1059</t>
  </si>
  <si>
    <t>ZUP-1060</t>
  </si>
  <si>
    <t>ZUP-1061</t>
  </si>
  <si>
    <t>ZUP-1062</t>
  </si>
  <si>
    <t>ZUP-1063</t>
  </si>
  <si>
    <t>ZUP-1064</t>
  </si>
  <si>
    <t>ZUP-1065</t>
  </si>
  <si>
    <t>ZUP-1066</t>
  </si>
  <si>
    <t>ZUP-1067</t>
  </si>
  <si>
    <t>ZUP-1068</t>
  </si>
  <si>
    <t>ZUP-1069</t>
  </si>
  <si>
    <t>ZUP-1070</t>
  </si>
  <si>
    <t>ZUP-1071</t>
  </si>
  <si>
    <t>ZUP-1072</t>
  </si>
  <si>
    <t>ZUP-1073</t>
  </si>
  <si>
    <t>ZUP-1074</t>
  </si>
  <si>
    <t>ZUP-1075</t>
  </si>
  <si>
    <t>ZUP-1076</t>
  </si>
  <si>
    <t>ZUP-1077</t>
  </si>
  <si>
    <t>ZUP-1078</t>
  </si>
  <si>
    <t>ZUP-1079</t>
  </si>
  <si>
    <t>ZUP-1080</t>
  </si>
  <si>
    <t>ZUP-1081</t>
  </si>
  <si>
    <t>ZUP-1082</t>
  </si>
  <si>
    <t>ZUP-1083</t>
  </si>
  <si>
    <t>ZUP-1084</t>
  </si>
  <si>
    <t>ZUP-1085</t>
  </si>
  <si>
    <t>ZUP-1086</t>
  </si>
  <si>
    <t>ZUP-1087</t>
  </si>
  <si>
    <t>ZUP-1088</t>
  </si>
  <si>
    <t>ZUP-1089</t>
  </si>
  <si>
    <t>ZUP-1090</t>
  </si>
  <si>
    <t>ZUP-1091</t>
  </si>
  <si>
    <t>ZUP-1092</t>
  </si>
  <si>
    <t>ZUP-1093</t>
  </si>
  <si>
    <t>ZUP-1094</t>
  </si>
  <si>
    <t>ZUP-1095</t>
  </si>
  <si>
    <t>ZUP-1096</t>
  </si>
  <si>
    <t>ZUP-1097</t>
  </si>
  <si>
    <t>ZUP-1098</t>
  </si>
  <si>
    <t>ZUP-1099</t>
  </si>
  <si>
    <t>ZUP-1100</t>
  </si>
  <si>
    <t>ZUP-1101</t>
  </si>
  <si>
    <t>ZUP-1102</t>
  </si>
  <si>
    <t>ZUP-1103</t>
  </si>
  <si>
    <t>ZUP-1104</t>
  </si>
  <si>
    <t>ZUP-1105</t>
  </si>
  <si>
    <t>ZUP-1106</t>
  </si>
  <si>
    <t>ZUP-1107</t>
  </si>
  <si>
    <t>ZUP-1108</t>
  </si>
  <si>
    <t>ZUP-1109</t>
  </si>
  <si>
    <t>ZUP-1110</t>
  </si>
  <si>
    <t>ZUP-1111</t>
  </si>
  <si>
    <t>ZUP-1112</t>
  </si>
  <si>
    <t>ZUP-1113</t>
  </si>
  <si>
    <t>ZUP-1114</t>
  </si>
  <si>
    <t>ZUP-1115</t>
  </si>
  <si>
    <t>ZUP-1116</t>
  </si>
  <si>
    <t>ZUP-1117</t>
  </si>
  <si>
    <t>ZUP-1118</t>
  </si>
  <si>
    <t>ZUP-1119</t>
  </si>
  <si>
    <t>ZUP-1120</t>
  </si>
  <si>
    <t>ZUP-1121</t>
  </si>
  <si>
    <t>ZUP-1122</t>
  </si>
  <si>
    <t>ZUP-1123</t>
  </si>
  <si>
    <t>ZUP-1124</t>
  </si>
  <si>
    <t>ZUP-1125</t>
  </si>
  <si>
    <t>ZUP-1126</t>
  </si>
  <si>
    <t>ZUP-1127</t>
  </si>
  <si>
    <t>ZUP-1128</t>
  </si>
  <si>
    <t>ZUP-1129</t>
  </si>
  <si>
    <t>ZUP-1130</t>
  </si>
  <si>
    <t>ZUP-1131</t>
  </si>
  <si>
    <t>ZUP-1132</t>
  </si>
  <si>
    <t>ZUP-1133</t>
  </si>
  <si>
    <t>ZUP-1134</t>
  </si>
  <si>
    <t>ZUP-1135</t>
  </si>
  <si>
    <t>ZUP-1136</t>
  </si>
  <si>
    <t>ZUP-1137</t>
  </si>
  <si>
    <t>ZUP-1138</t>
  </si>
  <si>
    <t>ZUP-1139</t>
  </si>
  <si>
    <t>ZUP-1140</t>
  </si>
  <si>
    <t>ZUP-1141</t>
  </si>
  <si>
    <t>ZUP-1142</t>
  </si>
  <si>
    <t>ZUP-1143</t>
  </si>
  <si>
    <t>ZUP-1144</t>
  </si>
  <si>
    <t>ZUP-1145</t>
  </si>
  <si>
    <t>ZUP-1146</t>
  </si>
  <si>
    <t>ZUP-1147</t>
  </si>
  <si>
    <t>ZUP-1148</t>
  </si>
  <si>
    <t>ZUP-1149</t>
  </si>
  <si>
    <t>ZUP-1150</t>
  </si>
  <si>
    <t>Total Beneficios</t>
  </si>
  <si>
    <t>Custo_Total</t>
  </si>
  <si>
    <t>Compa_Ratio</t>
  </si>
  <si>
    <t>Total da Folha Salarial</t>
  </si>
  <si>
    <t>Investimento Total em Beneficios</t>
  </si>
  <si>
    <t>Compa-Ratio Médio da Empresa</t>
  </si>
  <si>
    <t>Total de Anomalias(Abaixo do Piso)</t>
  </si>
  <si>
    <t>Status_Enquadramento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</si>
</sst>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44" fontId="1" fillId="0" borderId="0" applyFont="0" applyFill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9" fontId="1" fillId="0" borderId="0" applyFont="0" applyFill="0" applyBorder="0" applyAlignment="0" applyProtection="0"/>
    <xf numFmtId="0" fontId="7" fillId="3" borderId="0" applyNumberFormat="0" applyBorder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16" fillId="0" borderId="10" xfId="0" applyFont="1" applyBorder="1"/>
    <xf numFmtId="44" fontId="0" fillId="0" borderId="0" xfId="0" applyNumberFormat="1"/>
    <xf numFmtId="44" fontId="0" fillId="0" borderId="0" xfId="30" applyNumberFormat="1" applyFont="1"/>
    <xf numFmtId="1" fontId="0" fillId="0" borderId="0" xfId="30" applyNumberFormat="1" applyFont="1"/>
    <xf numFmtId="1" fontId="0" fillId="0" borderId="0" xfId="0" applyNumberFormat="1"/>
    <xf numFmtId="9" fontId="0" fillId="0" borderId="0" xfId="33" applyFont="1"/>
    <xf numFmtId="0" fontId="19" fillId="0" borderId="0" xfId="0" applyFont="1"/>
    <xf numFmtId="0" fontId="16" fillId="0" borderId="11" xfId="0" applyFont="1" applyBorder="1"/>
    <xf numFmtId="1" fontId="16" fillId="0" borderId="11" xfId="0" applyNumberFormat="1" applyFont="1" applyBorder="1"/>
    <xf numFmtId="0" fontId="18" fillId="0" borderId="0" xfId="44"/>
  </cellXfs>
  <cellStyles count="45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Hiperlink" xfId="44" builtinId="8"/>
    <cellStyle name="Moeda" xfId="30" builtinId="4"/>
    <cellStyle name="Neutro" xfId="31" builtinId="28" customBuiltin="1"/>
    <cellStyle name="Normal" xfId="0" builtinId="0"/>
    <cellStyle name="Nota" xfId="32" builtinId="10" customBuiltin="1"/>
    <cellStyle name="Porcentagem" xfId="33" builtinId="5"/>
    <cellStyle name="Ruim" xfId="34" builtinId="27" customBuiltin="1"/>
    <cellStyle name="Saída" xfId="35" builtinId="21" customBuiltin="1"/>
    <cellStyle name="Texto de Aviso" xfId="36" builtinId="11" customBuiltin="1"/>
    <cellStyle name="Texto Explicativo" xfId="37" builtinId="53" customBuiltin="1"/>
    <cellStyle name="Título" xfId="38" builtinId="15" customBuiltin="1"/>
    <cellStyle name="Título 1" xfId="39" builtinId="16" customBuiltin="1"/>
    <cellStyle name="Título 2" xfId="40" builtinId="17" customBuiltin="1"/>
    <cellStyle name="Título 3" xfId="41" builtinId="18" customBuiltin="1"/>
    <cellStyle name="Título 4" xfId="42" builtinId="19" customBuiltin="1"/>
    <cellStyle name="Total" xfId="43" builtinId="25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" formatCode="0"/>
    </dxf>
    <dxf>
      <numFmt numFmtId="1" formatCode="0"/>
    </dxf>
    <dxf>
      <numFmt numFmtId="1" formatCode="0"/>
    </dxf>
    <dxf>
      <numFmt numFmtId="34" formatCode="_-&quot;R$&quot;\ * #,##0.00_-;\-&quot;R$&quot;\ * #,##0.00_-;_-&quot;R$&quot;\ * &quot;-&quot;??_-;_-@_-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F2D64C-43F6-48DD-AD27-F9745AC1B8D9}" name="tb_Rewards" displayName="tb_Rewards" ref="A1:M151" totalsRowShown="0" headerRowDxfId="12" headerRowBorderDxfId="11" tableBorderDxfId="10">
  <autoFilter ref="A1:M151" xr:uid="{0EF2D64C-43F6-48DD-AD27-F9745AC1B8D9}"/>
  <tableColumns count="13">
    <tableColumn id="1" xr3:uid="{1198C678-443D-44A5-B50A-E7BE66FD257C}" name="ID_Zupper"/>
    <tableColumn id="2" xr3:uid="{64CE672C-1F40-49B1-B931-FFB82D5E094D}" name="Area"/>
    <tableColumn id="3" xr3:uid="{26C233A0-4C58-4679-8B77-A1F0FA9851FC}" name="Cargo"/>
    <tableColumn id="4" xr3:uid="{FE0F971A-79C6-472B-B503-4332B763ACD7}" name="Salario_Atual" dataDxfId="9"/>
    <tableColumn id="5" xr3:uid="{CE9EB893-93D6-4CFD-A197-E141AE0A09AF}" name="Midpoint_Mercado"/>
    <tableColumn id="6" xr3:uid="{E4DE9C64-3210-4B4C-917F-33FA49267CF2}" name="VR_VA" dataDxfId="8"/>
    <tableColumn id="7" xr3:uid="{8A10C601-3107-4090-BF3A-E9C4DAE46B03}" name="Plano_Saude" dataDxfId="7"/>
    <tableColumn id="8" xr3:uid="{4D3CD625-A5A5-488C-BEF1-09D36D967896}" name="Auxilio_HomeOffice" dataDxfId="6"/>
    <tableColumn id="9" xr3:uid="{B55C4AD9-61D7-4BEF-9A6D-81FCF21CB180}" name="Status"/>
    <tableColumn id="10" xr3:uid="{DA0CAA35-D361-4A6A-88EF-3AF3F9CB6597}" name="Total Beneficios" dataDxfId="5">
      <calculatedColumnFormula>SUM(F2:H2)</calculatedColumnFormula>
    </tableColumn>
    <tableColumn id="11" xr3:uid="{2DE997CD-A1E2-41C4-82DD-FA7F6657DBA9}" name="Custo_Total" dataDxfId="4">
      <calculatedColumnFormula>D2+J2</calculatedColumnFormula>
    </tableColumn>
    <tableColumn id="12" xr3:uid="{C0120F5C-45A2-423E-B8DB-8B1231D43036}" name="Compa_Ratio" dataDxfId="3" dataCellStyle="Porcentagem">
      <calculatedColumnFormula>D2/E2</calculatedColumnFormula>
    </tableColumn>
    <tableColumn id="13" xr3:uid="{1572D39B-6B7D-476D-93C8-5BE900DD582B}" name="Status_Enquadramento">
      <calculatedColumnFormula>IF(L2&lt;0.85,"Abaixo do Piso", IF(L2&gt;1.15, "Acima do Teto","Enquadrado"))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A1C9D-5554-44BE-9F05-38106924F04D}">
  <dimension ref="A1:Q151"/>
  <sheetViews>
    <sheetView tabSelected="1" workbookViewId="0">
      <selection activeCell="P20" sqref="P20"/>
    </sheetView>
  </sheetViews>
  <sheetFormatPr defaultRowHeight="15" x14ac:dyDescent="0.25"/>
  <cols>
    <col min="1" max="1" width="12.28515625" customWidth="1"/>
    <col min="2" max="2" width="22" bestFit="1" customWidth="1"/>
    <col min="3" max="3" width="14.42578125" bestFit="1" customWidth="1"/>
    <col min="4" max="4" width="14.7109375" customWidth="1"/>
    <col min="5" max="5" width="19.7109375" customWidth="1"/>
    <col min="6" max="6" width="9.140625" style="5"/>
    <col min="7" max="7" width="14.5703125" style="5" customWidth="1"/>
    <col min="8" max="8" width="21.140625" style="5" customWidth="1"/>
    <col min="10" max="10" width="17.5703125" customWidth="1"/>
    <col min="11" max="11" width="13.85546875" customWidth="1"/>
    <col min="12" max="12" width="15.140625" customWidth="1"/>
    <col min="13" max="13" width="24.5703125" bestFit="1" customWidth="1"/>
    <col min="16" max="16" width="33.140625" bestFit="1" customWidth="1"/>
  </cols>
  <sheetData>
    <row r="1" spans="1:16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8" t="s">
        <v>8</v>
      </c>
      <c r="J1" s="8" t="s">
        <v>171</v>
      </c>
      <c r="K1" s="8" t="s">
        <v>172</v>
      </c>
      <c r="L1" s="8" t="s">
        <v>173</v>
      </c>
      <c r="M1" s="8" t="s">
        <v>178</v>
      </c>
    </row>
    <row r="2" spans="1:16" x14ac:dyDescent="0.25">
      <c r="A2" t="s">
        <v>9</v>
      </c>
      <c r="B2" t="s">
        <v>10</v>
      </c>
      <c r="C2" t="s">
        <v>11</v>
      </c>
      <c r="D2" s="3">
        <v>3987.16</v>
      </c>
      <c r="E2">
        <v>4500</v>
      </c>
      <c r="F2" s="5">
        <v>1200</v>
      </c>
      <c r="G2" s="4">
        <v>500</v>
      </c>
      <c r="H2" s="5">
        <v>300</v>
      </c>
      <c r="I2" t="s">
        <v>12</v>
      </c>
      <c r="J2" s="2">
        <f>SUM(F2:H2)</f>
        <v>2000</v>
      </c>
      <c r="K2" s="2">
        <f>D2+J2</f>
        <v>5987.16</v>
      </c>
      <c r="L2" s="6">
        <f>D2/E2</f>
        <v>0.88603555555555558</v>
      </c>
      <c r="M2" t="str">
        <f>IF(L2&lt;0.85,"Abaixo do Piso", IF(L2&gt;1.15, "Acima do Teto","Enquadrado"))</f>
        <v>Enquadrado</v>
      </c>
    </row>
    <row r="3" spans="1:16" x14ac:dyDescent="0.25">
      <c r="A3" t="s">
        <v>13</v>
      </c>
      <c r="B3" t="s">
        <v>14</v>
      </c>
      <c r="C3" t="s">
        <v>15</v>
      </c>
      <c r="D3" s="2">
        <v>6571.19</v>
      </c>
      <c r="E3">
        <v>7500</v>
      </c>
      <c r="F3" s="5">
        <v>1200</v>
      </c>
      <c r="G3" s="5">
        <v>350</v>
      </c>
      <c r="H3" s="5">
        <v>300</v>
      </c>
      <c r="I3" t="s">
        <v>12</v>
      </c>
      <c r="J3" s="2">
        <f t="shared" ref="J3:J66" si="0">SUM(F3:H3)</f>
        <v>1850</v>
      </c>
      <c r="K3" s="2">
        <f t="shared" ref="K3:K66" si="1">D3+J3</f>
        <v>8421.1899999999987</v>
      </c>
      <c r="L3" s="6">
        <f t="shared" ref="L3:L66" si="2">D3/E3</f>
        <v>0.87615866666666664</v>
      </c>
      <c r="M3" t="str">
        <f t="shared" ref="M3:M66" si="3">IF(L3&lt;0.85,"Abaixo do Piso", IF(L3&gt;1.15, "Acima do Teto","Enquadrado"))</f>
        <v>Enquadrado</v>
      </c>
      <c r="P3" s="1" t="s">
        <v>174</v>
      </c>
    </row>
    <row r="4" spans="1:16" x14ac:dyDescent="0.25">
      <c r="A4" t="s">
        <v>16</v>
      </c>
      <c r="B4" t="s">
        <v>17</v>
      </c>
      <c r="C4" t="s">
        <v>18</v>
      </c>
      <c r="D4" s="2">
        <v>9585.75</v>
      </c>
      <c r="E4">
        <v>11000</v>
      </c>
      <c r="F4" s="5">
        <v>1200</v>
      </c>
      <c r="G4" s="5">
        <v>500</v>
      </c>
      <c r="H4" s="5">
        <v>300</v>
      </c>
      <c r="I4" t="s">
        <v>12</v>
      </c>
      <c r="J4" s="2">
        <f t="shared" si="0"/>
        <v>2000</v>
      </c>
      <c r="K4" s="2">
        <f t="shared" si="1"/>
        <v>11585.75</v>
      </c>
      <c r="L4" s="6">
        <f t="shared" si="2"/>
        <v>0.87143181818181814</v>
      </c>
      <c r="M4" t="str">
        <f t="shared" si="3"/>
        <v>Enquadrado</v>
      </c>
      <c r="P4" s="2">
        <f>SUM(tb_Rewards[Salario_Atual])</f>
        <v>1146961.6299999997</v>
      </c>
    </row>
    <row r="5" spans="1:16" x14ac:dyDescent="0.25">
      <c r="A5" t="s">
        <v>19</v>
      </c>
      <c r="B5" t="s">
        <v>17</v>
      </c>
      <c r="C5" t="s">
        <v>20</v>
      </c>
      <c r="D5" s="2">
        <v>2894.7</v>
      </c>
      <c r="E5">
        <v>2500</v>
      </c>
      <c r="F5" s="5">
        <v>1200</v>
      </c>
      <c r="G5" s="5">
        <v>350</v>
      </c>
      <c r="H5" s="5">
        <v>300</v>
      </c>
      <c r="I5" t="s">
        <v>12</v>
      </c>
      <c r="J5" s="2">
        <f t="shared" si="0"/>
        <v>1850</v>
      </c>
      <c r="K5" s="2">
        <f t="shared" si="1"/>
        <v>4744.7</v>
      </c>
      <c r="L5" s="6">
        <f t="shared" si="2"/>
        <v>1.15788</v>
      </c>
      <c r="M5" t="str">
        <f t="shared" si="3"/>
        <v>Acima do Teto</v>
      </c>
    </row>
    <row r="6" spans="1:16" x14ac:dyDescent="0.25">
      <c r="A6" t="s">
        <v>21</v>
      </c>
      <c r="B6" t="s">
        <v>22</v>
      </c>
      <c r="C6" t="s">
        <v>23</v>
      </c>
      <c r="D6" s="2">
        <v>14872.44</v>
      </c>
      <c r="E6">
        <v>16000</v>
      </c>
      <c r="F6" s="5">
        <v>1200</v>
      </c>
      <c r="G6" s="5">
        <v>500</v>
      </c>
      <c r="H6" s="5">
        <v>300</v>
      </c>
      <c r="I6" t="s">
        <v>12</v>
      </c>
      <c r="J6" s="2">
        <f t="shared" si="0"/>
        <v>2000</v>
      </c>
      <c r="K6" s="2">
        <f t="shared" si="1"/>
        <v>16872.440000000002</v>
      </c>
      <c r="L6" s="6">
        <f t="shared" si="2"/>
        <v>0.92952750000000006</v>
      </c>
      <c r="M6" t="str">
        <f t="shared" si="3"/>
        <v>Enquadrado</v>
      </c>
    </row>
    <row r="7" spans="1:16" x14ac:dyDescent="0.25">
      <c r="A7" t="s">
        <v>24</v>
      </c>
      <c r="B7" t="s">
        <v>22</v>
      </c>
      <c r="C7" t="s">
        <v>11</v>
      </c>
      <c r="D7" s="2">
        <v>4540.13</v>
      </c>
      <c r="E7">
        <v>4500</v>
      </c>
      <c r="F7" s="5">
        <v>1200</v>
      </c>
      <c r="G7" s="5">
        <v>350</v>
      </c>
      <c r="H7" s="5">
        <v>300</v>
      </c>
      <c r="I7" t="s">
        <v>12</v>
      </c>
      <c r="J7" s="2">
        <f t="shared" si="0"/>
        <v>1850</v>
      </c>
      <c r="K7" s="2">
        <f t="shared" si="1"/>
        <v>6390.13</v>
      </c>
      <c r="L7" s="6">
        <f t="shared" si="2"/>
        <v>1.0089177777777778</v>
      </c>
      <c r="M7" t="str">
        <f t="shared" si="3"/>
        <v>Enquadrado</v>
      </c>
      <c r="P7" s="1" t="s">
        <v>175</v>
      </c>
    </row>
    <row r="8" spans="1:16" x14ac:dyDescent="0.25">
      <c r="A8" t="s">
        <v>25</v>
      </c>
      <c r="B8" t="s">
        <v>17</v>
      </c>
      <c r="C8" t="s">
        <v>20</v>
      </c>
      <c r="D8" s="2">
        <v>30000</v>
      </c>
      <c r="E8">
        <v>2500</v>
      </c>
      <c r="F8" s="5">
        <v>1200</v>
      </c>
      <c r="G8" s="5">
        <v>350</v>
      </c>
      <c r="H8" s="5">
        <v>300</v>
      </c>
      <c r="I8" t="s">
        <v>12</v>
      </c>
      <c r="J8" s="2">
        <f t="shared" si="0"/>
        <v>1850</v>
      </c>
      <c r="K8" s="2">
        <f t="shared" si="1"/>
        <v>31850</v>
      </c>
      <c r="L8" s="6">
        <f t="shared" si="2"/>
        <v>12</v>
      </c>
      <c r="M8" t="str">
        <f t="shared" si="3"/>
        <v>Acima do Teto</v>
      </c>
      <c r="P8" s="2">
        <f>SUM(tb_Rewards[Total Beneficios])</f>
        <v>296350</v>
      </c>
    </row>
    <row r="9" spans="1:16" x14ac:dyDescent="0.25">
      <c r="A9" t="s">
        <v>26</v>
      </c>
      <c r="B9" t="s">
        <v>27</v>
      </c>
      <c r="C9" t="s">
        <v>18</v>
      </c>
      <c r="D9" s="2">
        <v>10534.55</v>
      </c>
      <c r="E9">
        <v>11000</v>
      </c>
      <c r="F9" s="5">
        <v>1200</v>
      </c>
      <c r="G9" s="5">
        <v>750</v>
      </c>
      <c r="H9" s="5">
        <v>300</v>
      </c>
      <c r="I9" t="s">
        <v>12</v>
      </c>
      <c r="J9" s="2">
        <f t="shared" si="0"/>
        <v>2250</v>
      </c>
      <c r="K9" s="2">
        <f t="shared" si="1"/>
        <v>12784.55</v>
      </c>
      <c r="L9" s="6">
        <f t="shared" si="2"/>
        <v>0.95768636363636361</v>
      </c>
      <c r="M9" t="str">
        <f t="shared" si="3"/>
        <v>Enquadrado</v>
      </c>
    </row>
    <row r="10" spans="1:16" x14ac:dyDescent="0.25">
      <c r="A10" t="s">
        <v>28</v>
      </c>
      <c r="B10" t="s">
        <v>10</v>
      </c>
      <c r="C10" t="s">
        <v>15</v>
      </c>
      <c r="D10" s="2">
        <v>7790.37</v>
      </c>
      <c r="E10">
        <v>7500</v>
      </c>
      <c r="F10" s="5">
        <v>1200</v>
      </c>
      <c r="G10" s="5">
        <v>350</v>
      </c>
      <c r="H10" s="5">
        <v>300</v>
      </c>
      <c r="I10" t="s">
        <v>12</v>
      </c>
      <c r="J10" s="2">
        <f t="shared" si="0"/>
        <v>1850</v>
      </c>
      <c r="K10" s="2">
        <f t="shared" si="1"/>
        <v>9640.369999999999</v>
      </c>
      <c r="L10" s="6">
        <f t="shared" si="2"/>
        <v>1.038716</v>
      </c>
      <c r="M10" t="str">
        <f t="shared" si="3"/>
        <v>Enquadrado</v>
      </c>
      <c r="P10" s="1" t="s">
        <v>176</v>
      </c>
    </row>
    <row r="11" spans="1:16" x14ac:dyDescent="0.25">
      <c r="A11" t="s">
        <v>29</v>
      </c>
      <c r="B11" t="s">
        <v>17</v>
      </c>
      <c r="C11" t="s">
        <v>20</v>
      </c>
      <c r="D11" s="2">
        <v>2897.98</v>
      </c>
      <c r="E11">
        <v>2500</v>
      </c>
      <c r="F11" s="5">
        <v>1200</v>
      </c>
      <c r="G11" s="5">
        <v>500</v>
      </c>
      <c r="H11" s="5">
        <v>300</v>
      </c>
      <c r="I11" t="s">
        <v>12</v>
      </c>
      <c r="J11" s="2">
        <f t="shared" si="0"/>
        <v>2000</v>
      </c>
      <c r="K11" s="2">
        <f t="shared" si="1"/>
        <v>4897.9799999999996</v>
      </c>
      <c r="L11" s="6">
        <f t="shared" si="2"/>
        <v>1.159192</v>
      </c>
      <c r="M11" t="str">
        <f t="shared" si="3"/>
        <v>Acima do Teto</v>
      </c>
      <c r="P11">
        <f>AVERAGE(tb_Rewards[Compa_Ratio])</f>
        <v>1.0637160680892253</v>
      </c>
    </row>
    <row r="12" spans="1:16" x14ac:dyDescent="0.25">
      <c r="A12" t="s">
        <v>30</v>
      </c>
      <c r="B12" t="s">
        <v>14</v>
      </c>
      <c r="C12" t="s">
        <v>11</v>
      </c>
      <c r="D12" s="2">
        <v>3848.23</v>
      </c>
      <c r="E12">
        <v>4500</v>
      </c>
      <c r="F12" s="5">
        <v>1200</v>
      </c>
      <c r="G12" s="5">
        <v>500</v>
      </c>
      <c r="H12" s="5">
        <v>300</v>
      </c>
      <c r="I12" t="s">
        <v>12</v>
      </c>
      <c r="J12" s="2">
        <f t="shared" si="0"/>
        <v>2000</v>
      </c>
      <c r="K12" s="2">
        <f t="shared" si="1"/>
        <v>5848.23</v>
      </c>
      <c r="L12" s="6">
        <f t="shared" si="2"/>
        <v>0.85516222222222227</v>
      </c>
      <c r="M12" t="str">
        <f t="shared" si="3"/>
        <v>Enquadrado</v>
      </c>
    </row>
    <row r="13" spans="1:16" x14ac:dyDescent="0.25">
      <c r="A13" t="s">
        <v>31</v>
      </c>
      <c r="B13" t="s">
        <v>17</v>
      </c>
      <c r="C13" t="s">
        <v>11</v>
      </c>
      <c r="D13" s="2">
        <v>4492.1899999999996</v>
      </c>
      <c r="E13">
        <v>4500</v>
      </c>
      <c r="F13" s="5">
        <v>1200</v>
      </c>
      <c r="G13" s="5">
        <v>350</v>
      </c>
      <c r="H13" s="5">
        <v>300</v>
      </c>
      <c r="I13" t="s">
        <v>12</v>
      </c>
      <c r="J13" s="2">
        <f t="shared" si="0"/>
        <v>1850</v>
      </c>
      <c r="K13" s="2">
        <f t="shared" si="1"/>
        <v>6342.19</v>
      </c>
      <c r="L13" s="6">
        <f t="shared" si="2"/>
        <v>0.9982644444444444</v>
      </c>
      <c r="M13" t="str">
        <f t="shared" si="3"/>
        <v>Enquadrado</v>
      </c>
      <c r="P13" s="1" t="s">
        <v>177</v>
      </c>
    </row>
    <row r="14" spans="1:16" x14ac:dyDescent="0.25">
      <c r="A14" t="s">
        <v>32</v>
      </c>
      <c r="B14" t="s">
        <v>17</v>
      </c>
      <c r="C14" t="s">
        <v>33</v>
      </c>
      <c r="D14" s="2">
        <v>13284.07</v>
      </c>
      <c r="E14">
        <v>15000</v>
      </c>
      <c r="F14" s="5">
        <v>1200</v>
      </c>
      <c r="G14" s="5">
        <v>500</v>
      </c>
      <c r="H14" s="5">
        <v>300</v>
      </c>
      <c r="I14" t="s">
        <v>12</v>
      </c>
      <c r="J14" s="2">
        <f t="shared" si="0"/>
        <v>2000</v>
      </c>
      <c r="K14" s="2">
        <f t="shared" si="1"/>
        <v>15284.07</v>
      </c>
      <c r="L14" s="6">
        <f t="shared" si="2"/>
        <v>0.8856046666666666</v>
      </c>
      <c r="M14" t="str">
        <f t="shared" si="3"/>
        <v>Enquadrado</v>
      </c>
      <c r="P14">
        <f>COUNTIF(tb_Rewards[Status_Enquadramento], "Abaixo do Piso")</f>
        <v>16</v>
      </c>
    </row>
    <row r="15" spans="1:16" x14ac:dyDescent="0.25">
      <c r="A15" t="s">
        <v>34</v>
      </c>
      <c r="B15" t="s">
        <v>14</v>
      </c>
      <c r="C15" t="s">
        <v>11</v>
      </c>
      <c r="D15" s="2">
        <v>4609.67</v>
      </c>
      <c r="E15">
        <v>4500</v>
      </c>
      <c r="F15" s="5">
        <v>1200</v>
      </c>
      <c r="G15" s="5">
        <v>350</v>
      </c>
      <c r="H15" s="5">
        <v>300</v>
      </c>
      <c r="I15" t="s">
        <v>12</v>
      </c>
      <c r="J15" s="2">
        <f t="shared" si="0"/>
        <v>1850</v>
      </c>
      <c r="K15" s="2">
        <f t="shared" si="1"/>
        <v>6459.67</v>
      </c>
      <c r="L15" s="6">
        <f t="shared" si="2"/>
        <v>1.0243711111111111</v>
      </c>
      <c r="M15" t="str">
        <f t="shared" si="3"/>
        <v>Enquadrado</v>
      </c>
    </row>
    <row r="16" spans="1:16" x14ac:dyDescent="0.25">
      <c r="A16" t="s">
        <v>35</v>
      </c>
      <c r="B16" t="s">
        <v>17</v>
      </c>
      <c r="C16" t="s">
        <v>18</v>
      </c>
      <c r="D16" s="2">
        <v>12740.42</v>
      </c>
      <c r="E16">
        <v>11000</v>
      </c>
      <c r="F16" s="5">
        <v>1200</v>
      </c>
      <c r="G16" s="5">
        <v>750</v>
      </c>
      <c r="H16" s="5">
        <v>300</v>
      </c>
      <c r="I16" t="s">
        <v>12</v>
      </c>
      <c r="J16" s="2">
        <f t="shared" si="0"/>
        <v>2250</v>
      </c>
      <c r="K16" s="2">
        <f t="shared" si="1"/>
        <v>14990.42</v>
      </c>
      <c r="L16" s="6">
        <f t="shared" si="2"/>
        <v>1.15822</v>
      </c>
      <c r="M16" t="str">
        <f t="shared" si="3"/>
        <v>Acima do Teto</v>
      </c>
    </row>
    <row r="17" spans="1:17" x14ac:dyDescent="0.25">
      <c r="A17" t="s">
        <v>36</v>
      </c>
      <c r="B17" t="s">
        <v>17</v>
      </c>
      <c r="C17" t="s">
        <v>15</v>
      </c>
      <c r="D17" s="2">
        <v>6272.11</v>
      </c>
      <c r="E17">
        <v>7500</v>
      </c>
      <c r="F17" s="5">
        <v>1200</v>
      </c>
      <c r="G17" s="5">
        <v>350</v>
      </c>
      <c r="H17" s="5">
        <v>300</v>
      </c>
      <c r="I17" t="s">
        <v>12</v>
      </c>
      <c r="J17" s="2">
        <f t="shared" si="0"/>
        <v>1850</v>
      </c>
      <c r="K17" s="2">
        <f t="shared" si="1"/>
        <v>8122.11</v>
      </c>
      <c r="L17" s="6">
        <f t="shared" si="2"/>
        <v>0.83628133333333332</v>
      </c>
      <c r="M17" t="str">
        <f t="shared" si="3"/>
        <v>Abaixo do Piso</v>
      </c>
    </row>
    <row r="18" spans="1:17" x14ac:dyDescent="0.25">
      <c r="A18" t="s">
        <v>37</v>
      </c>
      <c r="B18" t="s">
        <v>14</v>
      </c>
      <c r="C18" t="s">
        <v>11</v>
      </c>
      <c r="D18" s="2">
        <v>4564.3</v>
      </c>
      <c r="E18">
        <v>4500</v>
      </c>
      <c r="F18" s="5">
        <v>1200</v>
      </c>
      <c r="G18" s="5">
        <v>500</v>
      </c>
      <c r="H18" s="5">
        <v>300</v>
      </c>
      <c r="I18" t="s">
        <v>12</v>
      </c>
      <c r="J18" s="2">
        <f t="shared" si="0"/>
        <v>2000</v>
      </c>
      <c r="K18" s="2">
        <f t="shared" si="1"/>
        <v>6564.3</v>
      </c>
      <c r="L18" s="6">
        <f t="shared" si="2"/>
        <v>1.014288888888889</v>
      </c>
      <c r="M18" t="str">
        <f t="shared" si="3"/>
        <v>Enquadrado</v>
      </c>
    </row>
    <row r="19" spans="1:17" x14ac:dyDescent="0.25">
      <c r="A19" t="s">
        <v>38</v>
      </c>
      <c r="B19" t="s">
        <v>17</v>
      </c>
      <c r="C19" t="s">
        <v>23</v>
      </c>
      <c r="D19" s="2">
        <v>16245.93</v>
      </c>
      <c r="E19">
        <v>16000</v>
      </c>
      <c r="F19" s="5">
        <v>1200</v>
      </c>
      <c r="G19" s="5">
        <v>350</v>
      </c>
      <c r="H19" s="5">
        <v>300</v>
      </c>
      <c r="I19" t="s">
        <v>12</v>
      </c>
      <c r="J19" s="2">
        <f t="shared" si="0"/>
        <v>1850</v>
      </c>
      <c r="K19" s="2">
        <f t="shared" si="1"/>
        <v>18095.93</v>
      </c>
      <c r="L19" s="6">
        <f t="shared" si="2"/>
        <v>1.0153706250000001</v>
      </c>
      <c r="M19" t="str">
        <f t="shared" si="3"/>
        <v>Enquadrado</v>
      </c>
    </row>
    <row r="20" spans="1:17" x14ac:dyDescent="0.25">
      <c r="A20" t="s">
        <v>39</v>
      </c>
      <c r="B20" t="s">
        <v>22</v>
      </c>
      <c r="C20" t="s">
        <v>18</v>
      </c>
      <c r="D20" s="2">
        <v>9081.92</v>
      </c>
      <c r="E20">
        <v>11000</v>
      </c>
      <c r="F20" s="5">
        <v>1200</v>
      </c>
      <c r="G20" s="5">
        <v>350</v>
      </c>
      <c r="H20" s="5">
        <v>300</v>
      </c>
      <c r="I20" t="s">
        <v>12</v>
      </c>
      <c r="J20" s="2">
        <f t="shared" si="0"/>
        <v>1850</v>
      </c>
      <c r="K20" s="2">
        <f t="shared" si="1"/>
        <v>10931.92</v>
      </c>
      <c r="L20" s="6">
        <f t="shared" si="2"/>
        <v>0.82562909090909087</v>
      </c>
      <c r="M20" t="str">
        <f t="shared" si="3"/>
        <v>Abaixo do Piso</v>
      </c>
      <c r="P20" s="10"/>
    </row>
    <row r="21" spans="1:17" x14ac:dyDescent="0.25">
      <c r="A21" t="s">
        <v>40</v>
      </c>
      <c r="B21" t="s">
        <v>27</v>
      </c>
      <c r="C21" t="s">
        <v>11</v>
      </c>
      <c r="D21" s="2">
        <v>4012.12</v>
      </c>
      <c r="E21">
        <v>4500</v>
      </c>
      <c r="F21" s="5">
        <v>1200</v>
      </c>
      <c r="G21" s="5">
        <v>500</v>
      </c>
      <c r="H21" s="5">
        <v>300</v>
      </c>
      <c r="I21" t="s">
        <v>12</v>
      </c>
      <c r="J21" s="2">
        <f t="shared" si="0"/>
        <v>2000</v>
      </c>
      <c r="K21" s="2">
        <f t="shared" si="1"/>
        <v>6012.12</v>
      </c>
      <c r="L21" s="6">
        <f t="shared" si="2"/>
        <v>0.89158222222222216</v>
      </c>
      <c r="M21" t="str">
        <f t="shared" si="3"/>
        <v>Enquadrado</v>
      </c>
      <c r="Q21" s="7"/>
    </row>
    <row r="22" spans="1:17" x14ac:dyDescent="0.25">
      <c r="A22" t="s">
        <v>41</v>
      </c>
      <c r="B22" t="s">
        <v>27</v>
      </c>
      <c r="C22" t="s">
        <v>18</v>
      </c>
      <c r="D22" s="2">
        <v>9313.2199999999993</v>
      </c>
      <c r="E22">
        <v>11000</v>
      </c>
      <c r="F22" s="5">
        <v>1200</v>
      </c>
      <c r="G22" s="5">
        <v>350</v>
      </c>
      <c r="H22" s="5">
        <v>300</v>
      </c>
      <c r="I22" t="s">
        <v>12</v>
      </c>
      <c r="J22" s="2">
        <f t="shared" si="0"/>
        <v>1850</v>
      </c>
      <c r="K22" s="2">
        <f t="shared" si="1"/>
        <v>11163.22</v>
      </c>
      <c r="L22" s="6">
        <f t="shared" si="2"/>
        <v>0.84665636363636354</v>
      </c>
      <c r="M22" t="str">
        <f t="shared" si="3"/>
        <v>Abaixo do Piso</v>
      </c>
    </row>
    <row r="23" spans="1:17" x14ac:dyDescent="0.25">
      <c r="A23" t="s">
        <v>42</v>
      </c>
      <c r="B23" t="s">
        <v>22</v>
      </c>
      <c r="C23" t="s">
        <v>20</v>
      </c>
      <c r="D23" s="2">
        <v>2610.9699999999998</v>
      </c>
      <c r="E23">
        <v>2500</v>
      </c>
      <c r="F23" s="5">
        <v>1200</v>
      </c>
      <c r="G23" s="5">
        <v>350</v>
      </c>
      <c r="H23" s="5">
        <v>300</v>
      </c>
      <c r="I23" t="s">
        <v>12</v>
      </c>
      <c r="J23" s="2">
        <f t="shared" si="0"/>
        <v>1850</v>
      </c>
      <c r="K23" s="2">
        <f t="shared" si="1"/>
        <v>4460.9699999999993</v>
      </c>
      <c r="L23" s="6">
        <f t="shared" si="2"/>
        <v>1.0443879999999999</v>
      </c>
      <c r="M23" t="str">
        <f t="shared" si="3"/>
        <v>Enquadrado</v>
      </c>
    </row>
    <row r="24" spans="1:17" x14ac:dyDescent="0.25">
      <c r="A24" t="s">
        <v>43</v>
      </c>
      <c r="B24" t="s">
        <v>10</v>
      </c>
      <c r="C24" t="s">
        <v>20</v>
      </c>
      <c r="D24" s="2">
        <v>2706.65</v>
      </c>
      <c r="E24">
        <v>2500</v>
      </c>
      <c r="F24" s="5">
        <v>1200</v>
      </c>
      <c r="G24" s="5">
        <v>500</v>
      </c>
      <c r="H24" s="5">
        <v>300</v>
      </c>
      <c r="I24" t="s">
        <v>12</v>
      </c>
      <c r="J24" s="2">
        <f t="shared" si="0"/>
        <v>2000</v>
      </c>
      <c r="K24" s="2">
        <f t="shared" si="1"/>
        <v>4706.6499999999996</v>
      </c>
      <c r="L24" s="6">
        <f t="shared" si="2"/>
        <v>1.08266</v>
      </c>
      <c r="M24" t="str">
        <f t="shared" si="3"/>
        <v>Enquadrado</v>
      </c>
    </row>
    <row r="25" spans="1:17" x14ac:dyDescent="0.25">
      <c r="A25" t="s">
        <v>44</v>
      </c>
      <c r="B25" t="s">
        <v>22</v>
      </c>
      <c r="C25" t="s">
        <v>18</v>
      </c>
      <c r="D25" s="2">
        <v>10536.39</v>
      </c>
      <c r="E25">
        <v>11000</v>
      </c>
      <c r="F25" s="5">
        <v>1200</v>
      </c>
      <c r="G25" s="5">
        <v>750</v>
      </c>
      <c r="H25" s="5">
        <v>300</v>
      </c>
      <c r="I25" t="s">
        <v>12</v>
      </c>
      <c r="J25" s="2">
        <f t="shared" si="0"/>
        <v>2250</v>
      </c>
      <c r="K25" s="2">
        <f t="shared" si="1"/>
        <v>12786.39</v>
      </c>
      <c r="L25" s="6">
        <f t="shared" si="2"/>
        <v>0.9578536363636363</v>
      </c>
      <c r="M25" t="str">
        <f t="shared" si="3"/>
        <v>Enquadrado</v>
      </c>
    </row>
    <row r="26" spans="1:17" x14ac:dyDescent="0.25">
      <c r="A26" t="s">
        <v>45</v>
      </c>
      <c r="B26" t="s">
        <v>10</v>
      </c>
      <c r="C26" t="s">
        <v>18</v>
      </c>
      <c r="D26" s="2">
        <v>11242.66</v>
      </c>
      <c r="E26">
        <v>11000</v>
      </c>
      <c r="F26" s="5">
        <v>1200</v>
      </c>
      <c r="G26" s="5">
        <v>500</v>
      </c>
      <c r="H26" s="5">
        <v>300</v>
      </c>
      <c r="I26" t="s">
        <v>12</v>
      </c>
      <c r="J26" s="2">
        <f t="shared" si="0"/>
        <v>2000</v>
      </c>
      <c r="K26" s="2">
        <f t="shared" si="1"/>
        <v>13242.66</v>
      </c>
      <c r="L26" s="6">
        <f t="shared" si="2"/>
        <v>1.02206</v>
      </c>
      <c r="M26" t="str">
        <f t="shared" si="3"/>
        <v>Enquadrado</v>
      </c>
    </row>
    <row r="27" spans="1:17" x14ac:dyDescent="0.25">
      <c r="A27" t="s">
        <v>46</v>
      </c>
      <c r="B27" t="s">
        <v>22</v>
      </c>
      <c r="C27" t="s">
        <v>15</v>
      </c>
      <c r="D27" s="2">
        <v>8068.79</v>
      </c>
      <c r="E27">
        <v>7500</v>
      </c>
      <c r="F27" s="5">
        <v>1200</v>
      </c>
      <c r="G27" s="5">
        <v>350</v>
      </c>
      <c r="H27" s="5">
        <v>300</v>
      </c>
      <c r="I27" t="s">
        <v>12</v>
      </c>
      <c r="J27" s="2">
        <f t="shared" si="0"/>
        <v>1850</v>
      </c>
      <c r="K27" s="2">
        <f t="shared" si="1"/>
        <v>9918.7900000000009</v>
      </c>
      <c r="L27" s="6">
        <f t="shared" si="2"/>
        <v>1.0758386666666666</v>
      </c>
      <c r="M27" t="str">
        <f t="shared" si="3"/>
        <v>Enquadrado</v>
      </c>
    </row>
    <row r="28" spans="1:17" x14ac:dyDescent="0.25">
      <c r="A28" t="s">
        <v>47</v>
      </c>
      <c r="B28" t="s">
        <v>27</v>
      </c>
      <c r="C28" t="s">
        <v>11</v>
      </c>
      <c r="D28" s="2">
        <v>3740.92</v>
      </c>
      <c r="E28">
        <v>4500</v>
      </c>
      <c r="F28" s="5">
        <v>1200</v>
      </c>
      <c r="G28" s="5">
        <v>500</v>
      </c>
      <c r="H28" s="5">
        <v>300</v>
      </c>
      <c r="I28" t="s">
        <v>12</v>
      </c>
      <c r="J28" s="2">
        <f t="shared" si="0"/>
        <v>2000</v>
      </c>
      <c r="K28" s="2">
        <f t="shared" si="1"/>
        <v>5740.92</v>
      </c>
      <c r="L28" s="6">
        <f t="shared" si="2"/>
        <v>0.83131555555555559</v>
      </c>
      <c r="M28" t="str">
        <f t="shared" si="3"/>
        <v>Abaixo do Piso</v>
      </c>
    </row>
    <row r="29" spans="1:17" x14ac:dyDescent="0.25">
      <c r="A29" t="s">
        <v>48</v>
      </c>
      <c r="B29" t="s">
        <v>17</v>
      </c>
      <c r="C29" t="s">
        <v>11</v>
      </c>
      <c r="D29" s="2">
        <v>5160.26</v>
      </c>
      <c r="E29">
        <v>4500</v>
      </c>
      <c r="F29" s="5">
        <v>1200</v>
      </c>
      <c r="G29" s="5">
        <v>350</v>
      </c>
      <c r="H29" s="5">
        <v>300</v>
      </c>
      <c r="I29" t="s">
        <v>12</v>
      </c>
      <c r="J29" s="2">
        <f t="shared" si="0"/>
        <v>1850</v>
      </c>
      <c r="K29" s="2">
        <f t="shared" si="1"/>
        <v>7010.26</v>
      </c>
      <c r="L29" s="6">
        <f t="shared" si="2"/>
        <v>1.1467244444444444</v>
      </c>
      <c r="M29" t="str">
        <f t="shared" si="3"/>
        <v>Enquadrado</v>
      </c>
    </row>
    <row r="30" spans="1:17" x14ac:dyDescent="0.25">
      <c r="A30" t="s">
        <v>49</v>
      </c>
      <c r="B30" t="s">
        <v>27</v>
      </c>
      <c r="C30" t="s">
        <v>11</v>
      </c>
      <c r="D30" s="2">
        <v>4018.96</v>
      </c>
      <c r="E30">
        <v>4500</v>
      </c>
      <c r="F30" s="5">
        <v>1200</v>
      </c>
      <c r="G30" s="5">
        <v>750</v>
      </c>
      <c r="H30" s="5">
        <v>300</v>
      </c>
      <c r="I30" t="s">
        <v>12</v>
      </c>
      <c r="J30" s="2">
        <f t="shared" si="0"/>
        <v>2250</v>
      </c>
      <c r="K30" s="2">
        <f t="shared" si="1"/>
        <v>6268.96</v>
      </c>
      <c r="L30" s="6">
        <f t="shared" si="2"/>
        <v>0.89310222222222224</v>
      </c>
      <c r="M30" t="str">
        <f t="shared" si="3"/>
        <v>Enquadrado</v>
      </c>
    </row>
    <row r="31" spans="1:17" x14ac:dyDescent="0.25">
      <c r="A31" t="s">
        <v>50</v>
      </c>
      <c r="B31" t="s">
        <v>27</v>
      </c>
      <c r="C31" t="s">
        <v>15</v>
      </c>
      <c r="D31" s="2">
        <v>6585.3</v>
      </c>
      <c r="E31">
        <v>7500</v>
      </c>
      <c r="F31" s="5">
        <v>1200</v>
      </c>
      <c r="G31" s="5">
        <v>750</v>
      </c>
      <c r="H31" s="5">
        <v>300</v>
      </c>
      <c r="I31" t="s">
        <v>12</v>
      </c>
      <c r="J31" s="2">
        <f t="shared" si="0"/>
        <v>2250</v>
      </c>
      <c r="K31" s="2">
        <f t="shared" si="1"/>
        <v>8835.2999999999993</v>
      </c>
      <c r="L31" s="6">
        <f t="shared" si="2"/>
        <v>0.87804000000000004</v>
      </c>
      <c r="M31" t="str">
        <f t="shared" si="3"/>
        <v>Enquadrado</v>
      </c>
    </row>
    <row r="32" spans="1:17" x14ac:dyDescent="0.25">
      <c r="A32" t="s">
        <v>51</v>
      </c>
      <c r="B32" t="s">
        <v>22</v>
      </c>
      <c r="C32" t="s">
        <v>18</v>
      </c>
      <c r="D32" s="2">
        <v>9437.76</v>
      </c>
      <c r="E32">
        <v>11000</v>
      </c>
      <c r="F32" s="5">
        <v>1200</v>
      </c>
      <c r="G32" s="5">
        <v>350</v>
      </c>
      <c r="H32" s="5">
        <v>300</v>
      </c>
      <c r="I32" t="s">
        <v>12</v>
      </c>
      <c r="J32" s="2">
        <f t="shared" si="0"/>
        <v>1850</v>
      </c>
      <c r="K32" s="2">
        <f t="shared" si="1"/>
        <v>11287.76</v>
      </c>
      <c r="L32" s="6">
        <f t="shared" si="2"/>
        <v>0.85797818181818186</v>
      </c>
      <c r="M32" t="str">
        <f t="shared" si="3"/>
        <v>Enquadrado</v>
      </c>
    </row>
    <row r="33" spans="1:13" x14ac:dyDescent="0.25">
      <c r="A33" t="s">
        <v>52</v>
      </c>
      <c r="B33" t="s">
        <v>17</v>
      </c>
      <c r="C33" t="s">
        <v>11</v>
      </c>
      <c r="D33" s="2">
        <v>5135.95</v>
      </c>
      <c r="E33">
        <v>4500</v>
      </c>
      <c r="F33" s="5">
        <v>1200</v>
      </c>
      <c r="G33" s="5">
        <v>500</v>
      </c>
      <c r="H33" s="5">
        <v>300</v>
      </c>
      <c r="I33" t="s">
        <v>12</v>
      </c>
      <c r="J33" s="2">
        <f t="shared" si="0"/>
        <v>2000</v>
      </c>
      <c r="K33" s="2">
        <f t="shared" si="1"/>
        <v>7135.95</v>
      </c>
      <c r="L33" s="6">
        <f t="shared" si="2"/>
        <v>1.1413222222222221</v>
      </c>
      <c r="M33" t="str">
        <f t="shared" si="3"/>
        <v>Enquadrado</v>
      </c>
    </row>
    <row r="34" spans="1:13" x14ac:dyDescent="0.25">
      <c r="A34" t="s">
        <v>53</v>
      </c>
      <c r="B34" t="s">
        <v>17</v>
      </c>
      <c r="C34" t="s">
        <v>18</v>
      </c>
      <c r="D34" s="2">
        <v>10430.94</v>
      </c>
      <c r="E34">
        <v>11000</v>
      </c>
      <c r="F34" s="5">
        <v>1200</v>
      </c>
      <c r="G34" s="5">
        <v>750</v>
      </c>
      <c r="H34" s="5">
        <v>300</v>
      </c>
      <c r="I34" t="s">
        <v>12</v>
      </c>
      <c r="J34" s="2">
        <f t="shared" si="0"/>
        <v>2250</v>
      </c>
      <c r="K34" s="2">
        <f t="shared" si="1"/>
        <v>12680.94</v>
      </c>
      <c r="L34" s="6">
        <f t="shared" si="2"/>
        <v>0.94826727272727274</v>
      </c>
      <c r="M34" t="str">
        <f t="shared" si="3"/>
        <v>Enquadrado</v>
      </c>
    </row>
    <row r="35" spans="1:13" x14ac:dyDescent="0.25">
      <c r="A35" t="s">
        <v>54</v>
      </c>
      <c r="B35" t="s">
        <v>27</v>
      </c>
      <c r="C35" t="s">
        <v>11</v>
      </c>
      <c r="D35" s="2">
        <v>4381.91</v>
      </c>
      <c r="E35">
        <v>4500</v>
      </c>
      <c r="F35" s="5">
        <v>1200</v>
      </c>
      <c r="G35" s="5">
        <v>750</v>
      </c>
      <c r="H35" s="5">
        <v>300</v>
      </c>
      <c r="I35" t="s">
        <v>12</v>
      </c>
      <c r="J35" s="2">
        <f t="shared" si="0"/>
        <v>2250</v>
      </c>
      <c r="K35" s="2">
        <f t="shared" si="1"/>
        <v>6631.91</v>
      </c>
      <c r="L35" s="6">
        <f t="shared" si="2"/>
        <v>0.97375777777777772</v>
      </c>
      <c r="M35" t="str">
        <f t="shared" si="3"/>
        <v>Enquadrado</v>
      </c>
    </row>
    <row r="36" spans="1:13" x14ac:dyDescent="0.25">
      <c r="A36" t="s">
        <v>55</v>
      </c>
      <c r="B36" t="s">
        <v>27</v>
      </c>
      <c r="C36" t="s">
        <v>18</v>
      </c>
      <c r="D36" s="2">
        <v>10672.95</v>
      </c>
      <c r="E36">
        <v>11000</v>
      </c>
      <c r="F36" s="5">
        <v>1200</v>
      </c>
      <c r="G36" s="5">
        <v>350</v>
      </c>
      <c r="H36" s="5">
        <v>300</v>
      </c>
      <c r="I36" t="s">
        <v>12</v>
      </c>
      <c r="J36" s="2">
        <f t="shared" si="0"/>
        <v>1850</v>
      </c>
      <c r="K36" s="2">
        <f t="shared" si="1"/>
        <v>12522.95</v>
      </c>
      <c r="L36" s="6">
        <f t="shared" si="2"/>
        <v>0.97026818181818186</v>
      </c>
      <c r="M36" t="str">
        <f t="shared" si="3"/>
        <v>Enquadrado</v>
      </c>
    </row>
    <row r="37" spans="1:13" x14ac:dyDescent="0.25">
      <c r="A37" t="s">
        <v>56</v>
      </c>
      <c r="B37" t="s">
        <v>17</v>
      </c>
      <c r="C37" t="s">
        <v>20</v>
      </c>
      <c r="D37" s="2">
        <v>2269.71</v>
      </c>
      <c r="E37">
        <v>2500</v>
      </c>
      <c r="F37" s="5">
        <v>1200</v>
      </c>
      <c r="G37" s="5">
        <v>350</v>
      </c>
      <c r="H37" s="5">
        <v>300</v>
      </c>
      <c r="I37" t="s">
        <v>12</v>
      </c>
      <c r="J37" s="2">
        <f t="shared" si="0"/>
        <v>1850</v>
      </c>
      <c r="K37" s="2">
        <f t="shared" si="1"/>
        <v>4119.71</v>
      </c>
      <c r="L37" s="6">
        <f t="shared" si="2"/>
        <v>0.90788400000000002</v>
      </c>
      <c r="M37" t="str">
        <f t="shared" si="3"/>
        <v>Enquadrado</v>
      </c>
    </row>
    <row r="38" spans="1:13" x14ac:dyDescent="0.25">
      <c r="A38" t="s">
        <v>57</v>
      </c>
      <c r="B38" t="s">
        <v>22</v>
      </c>
      <c r="C38" t="s">
        <v>11</v>
      </c>
      <c r="D38" s="2">
        <v>4344.21</v>
      </c>
      <c r="E38">
        <v>4500</v>
      </c>
      <c r="F38" s="5">
        <v>1200</v>
      </c>
      <c r="G38" s="5">
        <v>350</v>
      </c>
      <c r="H38" s="5">
        <v>300</v>
      </c>
      <c r="I38" t="s">
        <v>12</v>
      </c>
      <c r="J38" s="2">
        <f t="shared" si="0"/>
        <v>1850</v>
      </c>
      <c r="K38" s="2">
        <f t="shared" si="1"/>
        <v>6194.21</v>
      </c>
      <c r="L38" s="6">
        <f t="shared" si="2"/>
        <v>0.96538000000000002</v>
      </c>
      <c r="M38" t="str">
        <f t="shared" si="3"/>
        <v>Enquadrado</v>
      </c>
    </row>
    <row r="39" spans="1:13" x14ac:dyDescent="0.25">
      <c r="A39" t="s">
        <v>58</v>
      </c>
      <c r="B39" t="s">
        <v>17</v>
      </c>
      <c r="C39" t="s">
        <v>11</v>
      </c>
      <c r="D39" s="2">
        <v>4097.8900000000003</v>
      </c>
      <c r="E39">
        <v>4500</v>
      </c>
      <c r="F39" s="5">
        <v>1200</v>
      </c>
      <c r="G39" s="5">
        <v>350</v>
      </c>
      <c r="H39" s="5">
        <v>300</v>
      </c>
      <c r="I39" t="s">
        <v>12</v>
      </c>
      <c r="J39" s="2">
        <f t="shared" si="0"/>
        <v>1850</v>
      </c>
      <c r="K39" s="2">
        <f t="shared" si="1"/>
        <v>5947.89</v>
      </c>
      <c r="L39" s="6">
        <f t="shared" si="2"/>
        <v>0.91064222222222224</v>
      </c>
      <c r="M39" t="str">
        <f t="shared" si="3"/>
        <v>Enquadrado</v>
      </c>
    </row>
    <row r="40" spans="1:13" x14ac:dyDescent="0.25">
      <c r="A40" t="s">
        <v>59</v>
      </c>
      <c r="B40" t="s">
        <v>22</v>
      </c>
      <c r="C40" t="s">
        <v>11</v>
      </c>
      <c r="D40" s="2">
        <v>5306.34</v>
      </c>
      <c r="E40">
        <v>4500</v>
      </c>
      <c r="F40" s="5">
        <v>1200</v>
      </c>
      <c r="G40" s="5">
        <v>350</v>
      </c>
      <c r="H40" s="5">
        <v>300</v>
      </c>
      <c r="I40" t="s">
        <v>12</v>
      </c>
      <c r="J40" s="2">
        <f t="shared" si="0"/>
        <v>1850</v>
      </c>
      <c r="K40" s="2">
        <f t="shared" si="1"/>
        <v>7156.34</v>
      </c>
      <c r="L40" s="6">
        <f t="shared" si="2"/>
        <v>1.1791866666666666</v>
      </c>
      <c r="M40" t="str">
        <f t="shared" si="3"/>
        <v>Acima do Teto</v>
      </c>
    </row>
    <row r="41" spans="1:13" x14ac:dyDescent="0.25">
      <c r="A41" t="s">
        <v>60</v>
      </c>
      <c r="B41" t="s">
        <v>17</v>
      </c>
      <c r="C41" t="s">
        <v>23</v>
      </c>
      <c r="D41" s="2">
        <v>13416.52</v>
      </c>
      <c r="E41">
        <v>16000</v>
      </c>
      <c r="F41" s="5">
        <v>1200</v>
      </c>
      <c r="G41" s="5">
        <v>350</v>
      </c>
      <c r="H41" s="5">
        <v>300</v>
      </c>
      <c r="I41" t="s">
        <v>12</v>
      </c>
      <c r="J41" s="2">
        <f t="shared" si="0"/>
        <v>1850</v>
      </c>
      <c r="K41" s="2">
        <f t="shared" si="1"/>
        <v>15266.52</v>
      </c>
      <c r="L41" s="6">
        <f t="shared" si="2"/>
        <v>0.83853250000000001</v>
      </c>
      <c r="M41" t="str">
        <f t="shared" si="3"/>
        <v>Abaixo do Piso</v>
      </c>
    </row>
    <row r="42" spans="1:13" x14ac:dyDescent="0.25">
      <c r="A42" t="s">
        <v>61</v>
      </c>
      <c r="B42" t="s">
        <v>27</v>
      </c>
      <c r="C42" t="s">
        <v>33</v>
      </c>
      <c r="D42" s="2">
        <v>15975.81</v>
      </c>
      <c r="E42">
        <v>15000</v>
      </c>
      <c r="F42" s="5">
        <v>1200</v>
      </c>
      <c r="G42" s="5">
        <v>500</v>
      </c>
      <c r="H42" s="5">
        <v>300</v>
      </c>
      <c r="I42" t="s">
        <v>12</v>
      </c>
      <c r="J42" s="2">
        <f t="shared" si="0"/>
        <v>2000</v>
      </c>
      <c r="K42" s="2">
        <f t="shared" si="1"/>
        <v>17975.809999999998</v>
      </c>
      <c r="L42" s="6">
        <f t="shared" si="2"/>
        <v>1.0650539999999999</v>
      </c>
      <c r="M42" t="str">
        <f t="shared" si="3"/>
        <v>Enquadrado</v>
      </c>
    </row>
    <row r="43" spans="1:13" x14ac:dyDescent="0.25">
      <c r="A43" t="s">
        <v>62</v>
      </c>
      <c r="B43" t="s">
        <v>17</v>
      </c>
      <c r="C43" t="s">
        <v>11</v>
      </c>
      <c r="D43" s="2">
        <v>3820.98</v>
      </c>
      <c r="E43">
        <v>4500</v>
      </c>
      <c r="F43" s="5">
        <v>1200</v>
      </c>
      <c r="G43" s="5">
        <v>350</v>
      </c>
      <c r="H43" s="5">
        <v>300</v>
      </c>
      <c r="I43" t="s">
        <v>12</v>
      </c>
      <c r="J43" s="2">
        <f t="shared" si="0"/>
        <v>1850</v>
      </c>
      <c r="K43" s="2">
        <f t="shared" si="1"/>
        <v>5670.98</v>
      </c>
      <c r="L43" s="6">
        <f t="shared" si="2"/>
        <v>0.84910666666666668</v>
      </c>
      <c r="M43" t="str">
        <f t="shared" si="3"/>
        <v>Abaixo do Piso</v>
      </c>
    </row>
    <row r="44" spans="1:13" x14ac:dyDescent="0.25">
      <c r="A44" t="s">
        <v>63</v>
      </c>
      <c r="B44" t="s">
        <v>10</v>
      </c>
      <c r="C44" t="s">
        <v>11</v>
      </c>
      <c r="D44" s="2">
        <v>4714.34</v>
      </c>
      <c r="E44">
        <v>4500</v>
      </c>
      <c r="F44" s="5">
        <v>1200</v>
      </c>
      <c r="G44" s="5">
        <v>500</v>
      </c>
      <c r="H44" s="5">
        <v>300</v>
      </c>
      <c r="I44" t="s">
        <v>12</v>
      </c>
      <c r="J44" s="2">
        <f t="shared" si="0"/>
        <v>2000</v>
      </c>
      <c r="K44" s="2">
        <f t="shared" si="1"/>
        <v>6714.34</v>
      </c>
      <c r="L44" s="6">
        <f t="shared" si="2"/>
        <v>1.0476311111111112</v>
      </c>
      <c r="M44" t="str">
        <f t="shared" si="3"/>
        <v>Enquadrado</v>
      </c>
    </row>
    <row r="45" spans="1:13" x14ac:dyDescent="0.25">
      <c r="A45" t="s">
        <v>64</v>
      </c>
      <c r="B45" t="s">
        <v>22</v>
      </c>
      <c r="C45" t="s">
        <v>15</v>
      </c>
      <c r="D45" s="2">
        <v>6556.94</v>
      </c>
      <c r="E45">
        <v>7500</v>
      </c>
      <c r="F45" s="5">
        <v>1200</v>
      </c>
      <c r="G45" s="5">
        <v>500</v>
      </c>
      <c r="H45" s="5">
        <v>300</v>
      </c>
      <c r="I45" t="s">
        <v>12</v>
      </c>
      <c r="J45" s="2">
        <f t="shared" si="0"/>
        <v>2000</v>
      </c>
      <c r="K45" s="2">
        <f t="shared" si="1"/>
        <v>8556.9399999999987</v>
      </c>
      <c r="L45" s="6">
        <f t="shared" si="2"/>
        <v>0.87425866666666663</v>
      </c>
      <c r="M45" t="str">
        <f t="shared" si="3"/>
        <v>Enquadrado</v>
      </c>
    </row>
    <row r="46" spans="1:13" x14ac:dyDescent="0.25">
      <c r="A46" t="s">
        <v>65</v>
      </c>
      <c r="B46" t="s">
        <v>27</v>
      </c>
      <c r="C46" t="s">
        <v>15</v>
      </c>
      <c r="D46" s="2">
        <v>7745.41</v>
      </c>
      <c r="E46">
        <v>7500</v>
      </c>
      <c r="F46" s="5">
        <v>1200</v>
      </c>
      <c r="G46" s="5">
        <v>500</v>
      </c>
      <c r="H46" s="5">
        <v>300</v>
      </c>
      <c r="I46" t="s">
        <v>12</v>
      </c>
      <c r="J46" s="2">
        <f t="shared" si="0"/>
        <v>2000</v>
      </c>
      <c r="K46" s="2">
        <f t="shared" si="1"/>
        <v>9745.41</v>
      </c>
      <c r="L46" s="6">
        <f t="shared" si="2"/>
        <v>1.0327213333333334</v>
      </c>
      <c r="M46" t="str">
        <f t="shared" si="3"/>
        <v>Enquadrado</v>
      </c>
    </row>
    <row r="47" spans="1:13" x14ac:dyDescent="0.25">
      <c r="A47" t="s">
        <v>66</v>
      </c>
      <c r="B47" t="s">
        <v>27</v>
      </c>
      <c r="C47" t="s">
        <v>20</v>
      </c>
      <c r="D47" s="2">
        <v>2778.55</v>
      </c>
      <c r="E47">
        <v>2500</v>
      </c>
      <c r="F47" s="5">
        <v>1200</v>
      </c>
      <c r="G47" s="5">
        <v>350</v>
      </c>
      <c r="H47" s="5">
        <v>300</v>
      </c>
      <c r="I47" t="s">
        <v>12</v>
      </c>
      <c r="J47" s="2">
        <f t="shared" si="0"/>
        <v>1850</v>
      </c>
      <c r="K47" s="2">
        <f t="shared" si="1"/>
        <v>4628.55</v>
      </c>
      <c r="L47" s="6">
        <f t="shared" si="2"/>
        <v>1.1114200000000001</v>
      </c>
      <c r="M47" t="str">
        <f t="shared" si="3"/>
        <v>Enquadrado</v>
      </c>
    </row>
    <row r="48" spans="1:13" x14ac:dyDescent="0.25">
      <c r="A48" t="s">
        <v>67</v>
      </c>
      <c r="B48" t="s">
        <v>22</v>
      </c>
      <c r="C48" t="s">
        <v>20</v>
      </c>
      <c r="D48" s="2">
        <v>2671.84</v>
      </c>
      <c r="E48">
        <v>2500</v>
      </c>
      <c r="F48" s="5">
        <v>1200</v>
      </c>
      <c r="G48" s="5">
        <v>350</v>
      </c>
      <c r="H48" s="5">
        <v>300</v>
      </c>
      <c r="I48" t="s">
        <v>12</v>
      </c>
      <c r="J48" s="2">
        <f t="shared" si="0"/>
        <v>1850</v>
      </c>
      <c r="K48" s="2">
        <f t="shared" si="1"/>
        <v>4521.84</v>
      </c>
      <c r="L48" s="6">
        <f t="shared" si="2"/>
        <v>1.0687360000000001</v>
      </c>
      <c r="M48" t="str">
        <f t="shared" si="3"/>
        <v>Enquadrado</v>
      </c>
    </row>
    <row r="49" spans="1:13" x14ac:dyDescent="0.25">
      <c r="A49" t="s">
        <v>68</v>
      </c>
      <c r="B49" t="s">
        <v>22</v>
      </c>
      <c r="C49" t="s">
        <v>33</v>
      </c>
      <c r="D49" s="2">
        <v>15948.73</v>
      </c>
      <c r="E49">
        <v>15000</v>
      </c>
      <c r="F49" s="5">
        <v>1200</v>
      </c>
      <c r="G49" s="5">
        <v>500</v>
      </c>
      <c r="H49" s="5">
        <v>300</v>
      </c>
      <c r="I49" t="s">
        <v>12</v>
      </c>
      <c r="J49" s="2">
        <f t="shared" si="0"/>
        <v>2000</v>
      </c>
      <c r="K49" s="2">
        <f t="shared" si="1"/>
        <v>17948.73</v>
      </c>
      <c r="L49" s="6">
        <f t="shared" si="2"/>
        <v>1.0632486666666667</v>
      </c>
      <c r="M49" t="str">
        <f t="shared" si="3"/>
        <v>Enquadrado</v>
      </c>
    </row>
    <row r="50" spans="1:13" x14ac:dyDescent="0.25">
      <c r="A50" t="s">
        <v>69</v>
      </c>
      <c r="B50" t="s">
        <v>14</v>
      </c>
      <c r="C50" t="s">
        <v>11</v>
      </c>
      <c r="D50" s="2">
        <v>4107.87</v>
      </c>
      <c r="E50">
        <v>4500</v>
      </c>
      <c r="F50" s="5">
        <v>1200</v>
      </c>
      <c r="G50" s="5">
        <v>500</v>
      </c>
      <c r="H50" s="5">
        <v>300</v>
      </c>
      <c r="I50" t="s">
        <v>12</v>
      </c>
      <c r="J50" s="2">
        <f t="shared" si="0"/>
        <v>2000</v>
      </c>
      <c r="K50" s="2">
        <f t="shared" si="1"/>
        <v>6107.87</v>
      </c>
      <c r="L50" s="6">
        <f t="shared" si="2"/>
        <v>0.91286</v>
      </c>
      <c r="M50" t="str">
        <f t="shared" si="3"/>
        <v>Enquadrado</v>
      </c>
    </row>
    <row r="51" spans="1:13" x14ac:dyDescent="0.25">
      <c r="A51" t="s">
        <v>70</v>
      </c>
      <c r="B51" t="s">
        <v>22</v>
      </c>
      <c r="C51" t="s">
        <v>18</v>
      </c>
      <c r="D51" s="2">
        <v>11065.88</v>
      </c>
      <c r="E51">
        <v>11000</v>
      </c>
      <c r="F51" s="5">
        <v>1200</v>
      </c>
      <c r="G51" s="5">
        <v>350</v>
      </c>
      <c r="H51" s="5">
        <v>300</v>
      </c>
      <c r="I51" t="s">
        <v>12</v>
      </c>
      <c r="J51" s="2">
        <f t="shared" si="0"/>
        <v>1850</v>
      </c>
      <c r="K51" s="2">
        <f t="shared" si="1"/>
        <v>12915.88</v>
      </c>
      <c r="L51" s="6">
        <f t="shared" si="2"/>
        <v>1.0059890909090909</v>
      </c>
      <c r="M51" t="str">
        <f t="shared" si="3"/>
        <v>Enquadrado</v>
      </c>
    </row>
    <row r="52" spans="1:13" x14ac:dyDescent="0.25">
      <c r="A52" t="s">
        <v>71</v>
      </c>
      <c r="B52" t="s">
        <v>17</v>
      </c>
      <c r="C52" t="s">
        <v>23</v>
      </c>
      <c r="D52" s="2">
        <v>16335.77</v>
      </c>
      <c r="E52">
        <v>16000</v>
      </c>
      <c r="F52" s="5">
        <v>1200</v>
      </c>
      <c r="G52" s="5">
        <v>750</v>
      </c>
      <c r="H52" s="5">
        <v>300</v>
      </c>
      <c r="I52" t="s">
        <v>12</v>
      </c>
      <c r="J52" s="2">
        <f t="shared" si="0"/>
        <v>2250</v>
      </c>
      <c r="K52" s="2">
        <f t="shared" si="1"/>
        <v>18585.77</v>
      </c>
      <c r="L52" s="6">
        <f t="shared" si="2"/>
        <v>1.020985625</v>
      </c>
      <c r="M52" t="str">
        <f t="shared" si="3"/>
        <v>Enquadrado</v>
      </c>
    </row>
    <row r="53" spans="1:13" x14ac:dyDescent="0.25">
      <c r="A53" t="s">
        <v>72</v>
      </c>
      <c r="B53" t="s">
        <v>22</v>
      </c>
      <c r="C53" t="s">
        <v>11</v>
      </c>
      <c r="D53" s="2">
        <v>4255.72</v>
      </c>
      <c r="E53">
        <v>4500</v>
      </c>
      <c r="F53" s="5">
        <v>1200</v>
      </c>
      <c r="G53" s="5">
        <v>500</v>
      </c>
      <c r="H53" s="5">
        <v>300</v>
      </c>
      <c r="I53" t="s">
        <v>12</v>
      </c>
      <c r="J53" s="2">
        <f t="shared" si="0"/>
        <v>2000</v>
      </c>
      <c r="K53" s="2">
        <f t="shared" si="1"/>
        <v>6255.72</v>
      </c>
      <c r="L53" s="6">
        <f t="shared" si="2"/>
        <v>0.94571555555555564</v>
      </c>
      <c r="M53" t="str">
        <f t="shared" si="3"/>
        <v>Enquadrado</v>
      </c>
    </row>
    <row r="54" spans="1:13" x14ac:dyDescent="0.25">
      <c r="A54" t="s">
        <v>73</v>
      </c>
      <c r="B54" t="s">
        <v>22</v>
      </c>
      <c r="C54" t="s">
        <v>18</v>
      </c>
      <c r="D54" s="2">
        <v>11562.45</v>
      </c>
      <c r="E54">
        <v>11000</v>
      </c>
      <c r="F54" s="5">
        <v>1200</v>
      </c>
      <c r="G54" s="5">
        <v>350</v>
      </c>
      <c r="H54" s="5">
        <v>300</v>
      </c>
      <c r="I54" t="s">
        <v>12</v>
      </c>
      <c r="J54" s="2">
        <f t="shared" si="0"/>
        <v>1850</v>
      </c>
      <c r="K54" s="2">
        <f t="shared" si="1"/>
        <v>13412.45</v>
      </c>
      <c r="L54" s="6">
        <f t="shared" si="2"/>
        <v>1.0511318181818183</v>
      </c>
      <c r="M54" t="str">
        <f t="shared" si="3"/>
        <v>Enquadrado</v>
      </c>
    </row>
    <row r="55" spans="1:13" x14ac:dyDescent="0.25">
      <c r="A55" t="s">
        <v>74</v>
      </c>
      <c r="B55" t="s">
        <v>17</v>
      </c>
      <c r="C55" t="s">
        <v>11</v>
      </c>
      <c r="D55" s="2">
        <v>4630.71</v>
      </c>
      <c r="E55">
        <v>4500</v>
      </c>
      <c r="F55" s="5">
        <v>1200</v>
      </c>
      <c r="G55" s="5">
        <v>350</v>
      </c>
      <c r="H55" s="5">
        <v>300</v>
      </c>
      <c r="I55" t="s">
        <v>12</v>
      </c>
      <c r="J55" s="2">
        <f t="shared" si="0"/>
        <v>1850</v>
      </c>
      <c r="K55" s="2">
        <f t="shared" si="1"/>
        <v>6480.71</v>
      </c>
      <c r="L55" s="6">
        <f t="shared" si="2"/>
        <v>1.0290466666666667</v>
      </c>
      <c r="M55" t="str">
        <f t="shared" si="3"/>
        <v>Enquadrado</v>
      </c>
    </row>
    <row r="56" spans="1:13" x14ac:dyDescent="0.25">
      <c r="A56" t="s">
        <v>75</v>
      </c>
      <c r="B56" t="s">
        <v>22</v>
      </c>
      <c r="C56" t="s">
        <v>33</v>
      </c>
      <c r="D56" s="2">
        <v>12327.33</v>
      </c>
      <c r="E56">
        <v>15000</v>
      </c>
      <c r="F56" s="5">
        <v>1200</v>
      </c>
      <c r="G56" s="5">
        <v>350</v>
      </c>
      <c r="H56" s="5">
        <v>300</v>
      </c>
      <c r="I56" t="s">
        <v>12</v>
      </c>
      <c r="J56" s="2">
        <f t="shared" si="0"/>
        <v>1850</v>
      </c>
      <c r="K56" s="2">
        <f t="shared" si="1"/>
        <v>14177.33</v>
      </c>
      <c r="L56" s="6">
        <f t="shared" si="2"/>
        <v>0.82182199999999994</v>
      </c>
      <c r="M56" t="str">
        <f t="shared" si="3"/>
        <v>Abaixo do Piso</v>
      </c>
    </row>
    <row r="57" spans="1:13" x14ac:dyDescent="0.25">
      <c r="A57" t="s">
        <v>76</v>
      </c>
      <c r="B57" t="s">
        <v>27</v>
      </c>
      <c r="C57" t="s">
        <v>15</v>
      </c>
      <c r="D57" s="2">
        <v>7910.3</v>
      </c>
      <c r="E57">
        <v>7500</v>
      </c>
      <c r="F57" s="5">
        <v>1200</v>
      </c>
      <c r="G57" s="5">
        <v>350</v>
      </c>
      <c r="H57" s="5">
        <v>300</v>
      </c>
      <c r="I57" t="s">
        <v>12</v>
      </c>
      <c r="J57" s="2">
        <f t="shared" si="0"/>
        <v>1850</v>
      </c>
      <c r="K57" s="2">
        <f t="shared" si="1"/>
        <v>9760.2999999999993</v>
      </c>
      <c r="L57" s="6">
        <f t="shared" si="2"/>
        <v>1.0547066666666667</v>
      </c>
      <c r="M57" t="str">
        <f t="shared" si="3"/>
        <v>Enquadrado</v>
      </c>
    </row>
    <row r="58" spans="1:13" x14ac:dyDescent="0.25">
      <c r="A58" t="s">
        <v>77</v>
      </c>
      <c r="B58" t="s">
        <v>22</v>
      </c>
      <c r="C58" t="s">
        <v>15</v>
      </c>
      <c r="D58" s="2">
        <v>7483.51</v>
      </c>
      <c r="E58">
        <v>7500</v>
      </c>
      <c r="F58" s="5">
        <v>1200</v>
      </c>
      <c r="G58" s="5">
        <v>350</v>
      </c>
      <c r="H58" s="5">
        <v>300</v>
      </c>
      <c r="I58" t="s">
        <v>12</v>
      </c>
      <c r="J58" s="2">
        <f t="shared" si="0"/>
        <v>1850</v>
      </c>
      <c r="K58" s="2">
        <f t="shared" si="1"/>
        <v>9333.51</v>
      </c>
      <c r="L58" s="6">
        <f t="shared" si="2"/>
        <v>0.99780133333333332</v>
      </c>
      <c r="M58" t="str">
        <f t="shared" si="3"/>
        <v>Enquadrado</v>
      </c>
    </row>
    <row r="59" spans="1:13" x14ac:dyDescent="0.25">
      <c r="A59" t="s">
        <v>78</v>
      </c>
      <c r="B59" t="s">
        <v>27</v>
      </c>
      <c r="C59" t="s">
        <v>11</v>
      </c>
      <c r="D59" s="2">
        <v>4755.33</v>
      </c>
      <c r="E59">
        <v>4500</v>
      </c>
      <c r="F59" s="5">
        <v>1200</v>
      </c>
      <c r="G59" s="5">
        <v>500</v>
      </c>
      <c r="H59" s="5">
        <v>300</v>
      </c>
      <c r="I59" t="s">
        <v>12</v>
      </c>
      <c r="J59" s="2">
        <f t="shared" si="0"/>
        <v>2000</v>
      </c>
      <c r="K59" s="2">
        <f t="shared" si="1"/>
        <v>6755.33</v>
      </c>
      <c r="L59" s="6">
        <f t="shared" si="2"/>
        <v>1.05674</v>
      </c>
      <c r="M59" t="str">
        <f t="shared" si="3"/>
        <v>Enquadrado</v>
      </c>
    </row>
    <row r="60" spans="1:13" x14ac:dyDescent="0.25">
      <c r="A60" t="s">
        <v>79</v>
      </c>
      <c r="B60" t="s">
        <v>27</v>
      </c>
      <c r="C60" t="s">
        <v>20</v>
      </c>
      <c r="D60" s="2">
        <v>2622.7</v>
      </c>
      <c r="E60">
        <v>2500</v>
      </c>
      <c r="F60" s="5">
        <v>1200</v>
      </c>
      <c r="G60" s="5">
        <v>350</v>
      </c>
      <c r="H60" s="5">
        <v>300</v>
      </c>
      <c r="I60" t="s">
        <v>12</v>
      </c>
      <c r="J60" s="2">
        <f t="shared" si="0"/>
        <v>1850</v>
      </c>
      <c r="K60" s="2">
        <f t="shared" si="1"/>
        <v>4472.7</v>
      </c>
      <c r="L60" s="6">
        <f t="shared" si="2"/>
        <v>1.04908</v>
      </c>
      <c r="M60" t="str">
        <f t="shared" si="3"/>
        <v>Enquadrado</v>
      </c>
    </row>
    <row r="61" spans="1:13" x14ac:dyDescent="0.25">
      <c r="A61" t="s">
        <v>80</v>
      </c>
      <c r="B61" t="s">
        <v>10</v>
      </c>
      <c r="C61" t="s">
        <v>15</v>
      </c>
      <c r="D61" s="2">
        <v>7464.2</v>
      </c>
      <c r="E61">
        <v>7500</v>
      </c>
      <c r="F61" s="5">
        <v>1200</v>
      </c>
      <c r="G61" s="5">
        <v>750</v>
      </c>
      <c r="H61" s="5">
        <v>300</v>
      </c>
      <c r="I61" t="s">
        <v>12</v>
      </c>
      <c r="J61" s="2">
        <f t="shared" si="0"/>
        <v>2250</v>
      </c>
      <c r="K61" s="2">
        <f t="shared" si="1"/>
        <v>9714.2000000000007</v>
      </c>
      <c r="L61" s="6">
        <f t="shared" si="2"/>
        <v>0.99522666666666659</v>
      </c>
      <c r="M61" t="str">
        <f t="shared" si="3"/>
        <v>Enquadrado</v>
      </c>
    </row>
    <row r="62" spans="1:13" x14ac:dyDescent="0.25">
      <c r="A62" t="s">
        <v>81</v>
      </c>
      <c r="B62" t="s">
        <v>10</v>
      </c>
      <c r="C62" t="s">
        <v>11</v>
      </c>
      <c r="D62" s="2">
        <v>4504.2700000000004</v>
      </c>
      <c r="E62">
        <v>4500</v>
      </c>
      <c r="F62" s="5">
        <v>1200</v>
      </c>
      <c r="G62" s="5">
        <v>500</v>
      </c>
      <c r="H62" s="5">
        <v>300</v>
      </c>
      <c r="I62" t="s">
        <v>12</v>
      </c>
      <c r="J62" s="2">
        <f t="shared" si="0"/>
        <v>2000</v>
      </c>
      <c r="K62" s="2">
        <f t="shared" si="1"/>
        <v>6504.27</v>
      </c>
      <c r="L62" s="6">
        <f t="shared" si="2"/>
        <v>1.0009488888888889</v>
      </c>
      <c r="M62" t="str">
        <f t="shared" si="3"/>
        <v>Enquadrado</v>
      </c>
    </row>
    <row r="63" spans="1:13" x14ac:dyDescent="0.25">
      <c r="A63" t="s">
        <v>82</v>
      </c>
      <c r="B63" t="s">
        <v>10</v>
      </c>
      <c r="C63" t="s">
        <v>15</v>
      </c>
      <c r="D63" s="2">
        <v>6771.5</v>
      </c>
      <c r="E63">
        <v>7500</v>
      </c>
      <c r="F63" s="5">
        <v>1200</v>
      </c>
      <c r="G63" s="5">
        <v>350</v>
      </c>
      <c r="H63" s="5">
        <v>300</v>
      </c>
      <c r="I63" t="s">
        <v>12</v>
      </c>
      <c r="J63" s="2">
        <f t="shared" si="0"/>
        <v>1850</v>
      </c>
      <c r="K63" s="2">
        <f t="shared" si="1"/>
        <v>8621.5</v>
      </c>
      <c r="L63" s="6">
        <f t="shared" si="2"/>
        <v>0.90286666666666671</v>
      </c>
      <c r="M63" t="str">
        <f t="shared" si="3"/>
        <v>Enquadrado</v>
      </c>
    </row>
    <row r="64" spans="1:13" x14ac:dyDescent="0.25">
      <c r="A64" t="s">
        <v>83</v>
      </c>
      <c r="B64" t="s">
        <v>22</v>
      </c>
      <c r="C64" t="s">
        <v>15</v>
      </c>
      <c r="D64" s="2">
        <v>6267.73</v>
      </c>
      <c r="E64">
        <v>7500</v>
      </c>
      <c r="F64" s="5">
        <v>1200</v>
      </c>
      <c r="G64" s="5">
        <v>750</v>
      </c>
      <c r="H64" s="5">
        <v>300</v>
      </c>
      <c r="I64" t="s">
        <v>12</v>
      </c>
      <c r="J64" s="2">
        <f t="shared" si="0"/>
        <v>2250</v>
      </c>
      <c r="K64" s="2">
        <f t="shared" si="1"/>
        <v>8517.73</v>
      </c>
      <c r="L64" s="6">
        <f t="shared" si="2"/>
        <v>0.83569733333333329</v>
      </c>
      <c r="M64" t="str">
        <f t="shared" si="3"/>
        <v>Abaixo do Piso</v>
      </c>
    </row>
    <row r="65" spans="1:13" x14ac:dyDescent="0.25">
      <c r="A65" t="s">
        <v>84</v>
      </c>
      <c r="B65" t="s">
        <v>10</v>
      </c>
      <c r="C65" t="s">
        <v>15</v>
      </c>
      <c r="D65" s="2">
        <v>8535.43</v>
      </c>
      <c r="E65">
        <v>7500</v>
      </c>
      <c r="F65" s="5">
        <v>1200</v>
      </c>
      <c r="G65" s="5">
        <v>500</v>
      </c>
      <c r="H65" s="5">
        <v>300</v>
      </c>
      <c r="I65" t="s">
        <v>12</v>
      </c>
      <c r="J65" s="2">
        <f t="shared" si="0"/>
        <v>2000</v>
      </c>
      <c r="K65" s="2">
        <f t="shared" si="1"/>
        <v>10535.43</v>
      </c>
      <c r="L65" s="6">
        <f t="shared" si="2"/>
        <v>1.1380573333333335</v>
      </c>
      <c r="M65" t="str">
        <f t="shared" si="3"/>
        <v>Enquadrado</v>
      </c>
    </row>
    <row r="66" spans="1:13" x14ac:dyDescent="0.25">
      <c r="A66" t="s">
        <v>85</v>
      </c>
      <c r="B66" t="s">
        <v>10</v>
      </c>
      <c r="C66" t="s">
        <v>23</v>
      </c>
      <c r="D66" s="2">
        <v>15586.34</v>
      </c>
      <c r="E66">
        <v>16000</v>
      </c>
      <c r="F66" s="5">
        <v>1200</v>
      </c>
      <c r="G66" s="5">
        <v>750</v>
      </c>
      <c r="H66" s="5">
        <v>300</v>
      </c>
      <c r="I66" t="s">
        <v>12</v>
      </c>
      <c r="J66" s="2">
        <f t="shared" si="0"/>
        <v>2250</v>
      </c>
      <c r="K66" s="2">
        <f t="shared" si="1"/>
        <v>17836.34</v>
      </c>
      <c r="L66" s="6">
        <f t="shared" si="2"/>
        <v>0.97414624999999999</v>
      </c>
      <c r="M66" t="str">
        <f t="shared" si="3"/>
        <v>Enquadrado</v>
      </c>
    </row>
    <row r="67" spans="1:13" x14ac:dyDescent="0.25">
      <c r="A67" t="s">
        <v>86</v>
      </c>
      <c r="B67" t="s">
        <v>22</v>
      </c>
      <c r="C67" t="s">
        <v>23</v>
      </c>
      <c r="D67" s="2">
        <v>13553.99</v>
      </c>
      <c r="E67">
        <v>16000</v>
      </c>
      <c r="F67" s="5">
        <v>1200</v>
      </c>
      <c r="G67" s="5">
        <v>350</v>
      </c>
      <c r="H67" s="5">
        <v>300</v>
      </c>
      <c r="I67" t="s">
        <v>12</v>
      </c>
      <c r="J67" s="2">
        <f t="shared" ref="J67:J130" si="4">SUM(F67:H67)</f>
        <v>1850</v>
      </c>
      <c r="K67" s="2">
        <f t="shared" ref="K67:K130" si="5">D67+J67</f>
        <v>15403.99</v>
      </c>
      <c r="L67" s="6">
        <f t="shared" ref="L67:L130" si="6">D67/E67</f>
        <v>0.84712437500000004</v>
      </c>
      <c r="M67" t="str">
        <f t="shared" ref="M67:M130" si="7">IF(L67&lt;0.85,"Abaixo do Piso", IF(L67&gt;1.15, "Acima do Teto","Enquadrado"))</f>
        <v>Abaixo do Piso</v>
      </c>
    </row>
    <row r="68" spans="1:13" x14ac:dyDescent="0.25">
      <c r="A68" t="s">
        <v>87</v>
      </c>
      <c r="B68" t="s">
        <v>22</v>
      </c>
      <c r="C68" t="s">
        <v>11</v>
      </c>
      <c r="D68" s="2">
        <v>4203.41</v>
      </c>
      <c r="E68">
        <v>4500</v>
      </c>
      <c r="F68" s="5">
        <v>1200</v>
      </c>
      <c r="G68" s="5">
        <v>350</v>
      </c>
      <c r="H68" s="5">
        <v>300</v>
      </c>
      <c r="I68" t="s">
        <v>12</v>
      </c>
      <c r="J68" s="2">
        <f t="shared" si="4"/>
        <v>1850</v>
      </c>
      <c r="K68" s="2">
        <f t="shared" si="5"/>
        <v>6053.41</v>
      </c>
      <c r="L68" s="6">
        <f t="shared" si="6"/>
        <v>0.93409111111111109</v>
      </c>
      <c r="M68" t="str">
        <f t="shared" si="7"/>
        <v>Enquadrado</v>
      </c>
    </row>
    <row r="69" spans="1:13" x14ac:dyDescent="0.25">
      <c r="A69" t="s">
        <v>88</v>
      </c>
      <c r="B69" t="s">
        <v>14</v>
      </c>
      <c r="C69" t="s">
        <v>15</v>
      </c>
      <c r="D69" s="2">
        <v>8661.0499999999993</v>
      </c>
      <c r="E69">
        <v>7500</v>
      </c>
      <c r="F69" s="5">
        <v>1200</v>
      </c>
      <c r="G69" s="5">
        <v>350</v>
      </c>
      <c r="H69" s="5">
        <v>300</v>
      </c>
      <c r="I69" t="s">
        <v>12</v>
      </c>
      <c r="J69" s="2">
        <f t="shared" si="4"/>
        <v>1850</v>
      </c>
      <c r="K69" s="2">
        <f t="shared" si="5"/>
        <v>10511.05</v>
      </c>
      <c r="L69" s="6">
        <f t="shared" si="6"/>
        <v>1.1548066666666665</v>
      </c>
      <c r="M69" t="str">
        <f t="shared" si="7"/>
        <v>Acima do Teto</v>
      </c>
    </row>
    <row r="70" spans="1:13" x14ac:dyDescent="0.25">
      <c r="A70" t="s">
        <v>89</v>
      </c>
      <c r="B70" t="s">
        <v>14</v>
      </c>
      <c r="C70" t="s">
        <v>11</v>
      </c>
      <c r="D70" s="2">
        <v>4101.75</v>
      </c>
      <c r="E70">
        <v>4500</v>
      </c>
      <c r="F70" s="5">
        <v>1200</v>
      </c>
      <c r="G70" s="5">
        <v>350</v>
      </c>
      <c r="H70" s="5">
        <v>300</v>
      </c>
      <c r="I70" t="s">
        <v>12</v>
      </c>
      <c r="J70" s="2">
        <f t="shared" si="4"/>
        <v>1850</v>
      </c>
      <c r="K70" s="2">
        <f t="shared" si="5"/>
        <v>5951.75</v>
      </c>
      <c r="L70" s="6">
        <f t="shared" si="6"/>
        <v>0.91149999999999998</v>
      </c>
      <c r="M70" t="str">
        <f t="shared" si="7"/>
        <v>Enquadrado</v>
      </c>
    </row>
    <row r="71" spans="1:13" x14ac:dyDescent="0.25">
      <c r="A71" t="s">
        <v>90</v>
      </c>
      <c r="B71" t="s">
        <v>22</v>
      </c>
      <c r="C71" t="s">
        <v>11</v>
      </c>
      <c r="D71" s="2">
        <v>3911.33</v>
      </c>
      <c r="E71">
        <v>4500</v>
      </c>
      <c r="F71" s="5">
        <v>1200</v>
      </c>
      <c r="G71" s="5">
        <v>500</v>
      </c>
      <c r="H71" s="5">
        <v>300</v>
      </c>
      <c r="I71" t="s">
        <v>12</v>
      </c>
      <c r="J71" s="2">
        <f t="shared" si="4"/>
        <v>2000</v>
      </c>
      <c r="K71" s="2">
        <f t="shared" si="5"/>
        <v>5911.33</v>
      </c>
      <c r="L71" s="6">
        <f t="shared" si="6"/>
        <v>0.86918444444444443</v>
      </c>
      <c r="M71" t="str">
        <f t="shared" si="7"/>
        <v>Enquadrado</v>
      </c>
    </row>
    <row r="72" spans="1:13" x14ac:dyDescent="0.25">
      <c r="A72" t="s">
        <v>91</v>
      </c>
      <c r="B72" t="s">
        <v>14</v>
      </c>
      <c r="C72" t="s">
        <v>15</v>
      </c>
      <c r="D72" s="2">
        <v>8335.2800000000007</v>
      </c>
      <c r="E72">
        <v>7500</v>
      </c>
      <c r="F72" s="5">
        <v>1200</v>
      </c>
      <c r="G72" s="5">
        <v>750</v>
      </c>
      <c r="H72" s="5">
        <v>300</v>
      </c>
      <c r="I72" t="s">
        <v>12</v>
      </c>
      <c r="J72" s="2">
        <f t="shared" si="4"/>
        <v>2250</v>
      </c>
      <c r="K72" s="2">
        <f t="shared" si="5"/>
        <v>10585.28</v>
      </c>
      <c r="L72" s="6">
        <f t="shared" si="6"/>
        <v>1.1113706666666667</v>
      </c>
      <c r="M72" t="str">
        <f t="shared" si="7"/>
        <v>Enquadrado</v>
      </c>
    </row>
    <row r="73" spans="1:13" x14ac:dyDescent="0.25">
      <c r="A73" t="s">
        <v>92</v>
      </c>
      <c r="B73" t="s">
        <v>10</v>
      </c>
      <c r="C73" t="s">
        <v>18</v>
      </c>
      <c r="D73" s="2">
        <v>9343.11</v>
      </c>
      <c r="E73">
        <v>11000</v>
      </c>
      <c r="F73" s="5">
        <v>1200</v>
      </c>
      <c r="G73" s="5">
        <v>350</v>
      </c>
      <c r="H73" s="5">
        <v>300</v>
      </c>
      <c r="I73" t="s">
        <v>12</v>
      </c>
      <c r="J73" s="2">
        <f t="shared" si="4"/>
        <v>1850</v>
      </c>
      <c r="K73" s="2">
        <f t="shared" si="5"/>
        <v>11193.11</v>
      </c>
      <c r="L73" s="6">
        <f t="shared" si="6"/>
        <v>0.84937363636363639</v>
      </c>
      <c r="M73" t="str">
        <f t="shared" si="7"/>
        <v>Abaixo do Piso</v>
      </c>
    </row>
    <row r="74" spans="1:13" x14ac:dyDescent="0.25">
      <c r="A74" t="s">
        <v>93</v>
      </c>
      <c r="B74" t="s">
        <v>17</v>
      </c>
      <c r="C74" t="s">
        <v>15</v>
      </c>
      <c r="D74" s="2">
        <v>7904.9</v>
      </c>
      <c r="E74">
        <v>7500</v>
      </c>
      <c r="F74" s="5">
        <v>1200</v>
      </c>
      <c r="G74" s="5">
        <v>500</v>
      </c>
      <c r="H74" s="5">
        <v>300</v>
      </c>
      <c r="I74" t="s">
        <v>12</v>
      </c>
      <c r="J74" s="2">
        <f t="shared" si="4"/>
        <v>2000</v>
      </c>
      <c r="K74" s="2">
        <f t="shared" si="5"/>
        <v>9904.9</v>
      </c>
      <c r="L74" s="6">
        <f t="shared" si="6"/>
        <v>1.0539866666666666</v>
      </c>
      <c r="M74" t="str">
        <f t="shared" si="7"/>
        <v>Enquadrado</v>
      </c>
    </row>
    <row r="75" spans="1:13" x14ac:dyDescent="0.25">
      <c r="A75" t="s">
        <v>94</v>
      </c>
      <c r="B75" t="s">
        <v>17</v>
      </c>
      <c r="C75" t="s">
        <v>18</v>
      </c>
      <c r="D75" s="2">
        <v>12531</v>
      </c>
      <c r="E75">
        <v>11000</v>
      </c>
      <c r="F75" s="5">
        <v>1200</v>
      </c>
      <c r="G75" s="5">
        <v>350</v>
      </c>
      <c r="H75" s="5">
        <v>300</v>
      </c>
      <c r="I75" t="s">
        <v>12</v>
      </c>
      <c r="J75" s="2">
        <f t="shared" si="4"/>
        <v>1850</v>
      </c>
      <c r="K75" s="2">
        <f t="shared" si="5"/>
        <v>14381</v>
      </c>
      <c r="L75" s="6">
        <f t="shared" si="6"/>
        <v>1.1391818181818181</v>
      </c>
      <c r="M75" t="str">
        <f t="shared" si="7"/>
        <v>Enquadrado</v>
      </c>
    </row>
    <row r="76" spans="1:13" x14ac:dyDescent="0.25">
      <c r="A76" t="s">
        <v>95</v>
      </c>
      <c r="B76" t="s">
        <v>27</v>
      </c>
      <c r="C76" t="s">
        <v>15</v>
      </c>
      <c r="D76" s="2">
        <v>7407.11</v>
      </c>
      <c r="E76">
        <v>7500</v>
      </c>
      <c r="F76" s="5">
        <v>1200</v>
      </c>
      <c r="G76" s="5">
        <v>500</v>
      </c>
      <c r="H76" s="5">
        <v>300</v>
      </c>
      <c r="I76" t="s">
        <v>12</v>
      </c>
      <c r="J76" s="2">
        <f t="shared" si="4"/>
        <v>2000</v>
      </c>
      <c r="K76" s="2">
        <f t="shared" si="5"/>
        <v>9407.11</v>
      </c>
      <c r="L76" s="6">
        <f t="shared" si="6"/>
        <v>0.98761466666666664</v>
      </c>
      <c r="M76" t="str">
        <f t="shared" si="7"/>
        <v>Enquadrado</v>
      </c>
    </row>
    <row r="77" spans="1:13" x14ac:dyDescent="0.25">
      <c r="A77" t="s">
        <v>96</v>
      </c>
      <c r="B77" t="s">
        <v>14</v>
      </c>
      <c r="C77" t="s">
        <v>11</v>
      </c>
      <c r="D77" s="2">
        <v>5083.8599999999997</v>
      </c>
      <c r="E77">
        <v>4500</v>
      </c>
      <c r="F77" s="5">
        <v>1200</v>
      </c>
      <c r="G77" s="5">
        <v>350</v>
      </c>
      <c r="H77" s="5">
        <v>300</v>
      </c>
      <c r="I77" t="s">
        <v>12</v>
      </c>
      <c r="J77" s="2">
        <f t="shared" si="4"/>
        <v>1850</v>
      </c>
      <c r="K77" s="2">
        <f t="shared" si="5"/>
        <v>6933.86</v>
      </c>
      <c r="L77" s="6">
        <f t="shared" si="6"/>
        <v>1.1297466666666667</v>
      </c>
      <c r="M77" t="str">
        <f t="shared" si="7"/>
        <v>Enquadrado</v>
      </c>
    </row>
    <row r="78" spans="1:13" x14ac:dyDescent="0.25">
      <c r="A78" t="s">
        <v>97</v>
      </c>
      <c r="B78" t="s">
        <v>27</v>
      </c>
      <c r="C78" t="s">
        <v>20</v>
      </c>
      <c r="D78" s="2">
        <v>2164.35</v>
      </c>
      <c r="E78">
        <v>2500</v>
      </c>
      <c r="F78" s="5">
        <v>1200</v>
      </c>
      <c r="G78" s="5">
        <v>500</v>
      </c>
      <c r="H78" s="5">
        <v>300</v>
      </c>
      <c r="I78" t="s">
        <v>12</v>
      </c>
      <c r="J78" s="2">
        <f t="shared" si="4"/>
        <v>2000</v>
      </c>
      <c r="K78" s="2">
        <f t="shared" si="5"/>
        <v>4164.3500000000004</v>
      </c>
      <c r="L78" s="6">
        <f t="shared" si="6"/>
        <v>0.86573999999999995</v>
      </c>
      <c r="M78" t="str">
        <f t="shared" si="7"/>
        <v>Enquadrado</v>
      </c>
    </row>
    <row r="79" spans="1:13" x14ac:dyDescent="0.25">
      <c r="A79" t="s">
        <v>98</v>
      </c>
      <c r="B79" t="s">
        <v>17</v>
      </c>
      <c r="C79" t="s">
        <v>18</v>
      </c>
      <c r="D79" s="2">
        <v>12842.4</v>
      </c>
      <c r="E79">
        <v>11000</v>
      </c>
      <c r="F79" s="5">
        <v>1200</v>
      </c>
      <c r="G79" s="5">
        <v>350</v>
      </c>
      <c r="H79" s="5">
        <v>300</v>
      </c>
      <c r="I79" t="s">
        <v>12</v>
      </c>
      <c r="J79" s="2">
        <f t="shared" si="4"/>
        <v>1850</v>
      </c>
      <c r="K79" s="2">
        <f t="shared" si="5"/>
        <v>14692.4</v>
      </c>
      <c r="L79" s="6">
        <f t="shared" si="6"/>
        <v>1.1674909090909091</v>
      </c>
      <c r="M79" t="str">
        <f t="shared" si="7"/>
        <v>Acima do Teto</v>
      </c>
    </row>
    <row r="80" spans="1:13" x14ac:dyDescent="0.25">
      <c r="A80" t="s">
        <v>99</v>
      </c>
      <c r="B80" t="s">
        <v>17</v>
      </c>
      <c r="C80" t="s">
        <v>18</v>
      </c>
      <c r="D80" s="2">
        <v>10648.96</v>
      </c>
      <c r="E80">
        <v>11000</v>
      </c>
      <c r="F80" s="5">
        <v>1200</v>
      </c>
      <c r="G80" s="5">
        <v>500</v>
      </c>
      <c r="H80" s="5">
        <v>300</v>
      </c>
      <c r="I80" t="s">
        <v>12</v>
      </c>
      <c r="J80" s="2">
        <f t="shared" si="4"/>
        <v>2000</v>
      </c>
      <c r="K80" s="2">
        <f t="shared" si="5"/>
        <v>12648.96</v>
      </c>
      <c r="L80" s="6">
        <f t="shared" si="6"/>
        <v>0.96808727272727269</v>
      </c>
      <c r="M80" t="str">
        <f t="shared" si="7"/>
        <v>Enquadrado</v>
      </c>
    </row>
    <row r="81" spans="1:13" x14ac:dyDescent="0.25">
      <c r="A81" t="s">
        <v>100</v>
      </c>
      <c r="B81" t="s">
        <v>10</v>
      </c>
      <c r="C81" t="s">
        <v>20</v>
      </c>
      <c r="D81" s="2">
        <v>2922.58</v>
      </c>
      <c r="E81">
        <v>2500</v>
      </c>
      <c r="F81" s="5">
        <v>1200</v>
      </c>
      <c r="G81" s="5">
        <v>500</v>
      </c>
      <c r="H81" s="5">
        <v>300</v>
      </c>
      <c r="I81" t="s">
        <v>12</v>
      </c>
      <c r="J81" s="2">
        <f t="shared" si="4"/>
        <v>2000</v>
      </c>
      <c r="K81" s="2">
        <f t="shared" si="5"/>
        <v>4922.58</v>
      </c>
      <c r="L81" s="6">
        <f t="shared" si="6"/>
        <v>1.1690320000000001</v>
      </c>
      <c r="M81" t="str">
        <f t="shared" si="7"/>
        <v>Acima do Teto</v>
      </c>
    </row>
    <row r="82" spans="1:13" x14ac:dyDescent="0.25">
      <c r="A82" t="s">
        <v>101</v>
      </c>
      <c r="B82" t="s">
        <v>27</v>
      </c>
      <c r="C82" t="s">
        <v>20</v>
      </c>
      <c r="D82" s="2">
        <v>2445.0700000000002</v>
      </c>
      <c r="E82">
        <v>2500</v>
      </c>
      <c r="F82" s="5">
        <v>1200</v>
      </c>
      <c r="G82" s="5">
        <v>350</v>
      </c>
      <c r="H82" s="5">
        <v>300</v>
      </c>
      <c r="I82" t="s">
        <v>12</v>
      </c>
      <c r="J82" s="2">
        <f t="shared" si="4"/>
        <v>1850</v>
      </c>
      <c r="K82" s="2">
        <f t="shared" si="5"/>
        <v>4295.07</v>
      </c>
      <c r="L82" s="6">
        <f t="shared" si="6"/>
        <v>0.97802800000000012</v>
      </c>
      <c r="M82" t="str">
        <f t="shared" si="7"/>
        <v>Enquadrado</v>
      </c>
    </row>
    <row r="83" spans="1:13" x14ac:dyDescent="0.25">
      <c r="A83" t="s">
        <v>102</v>
      </c>
      <c r="B83" t="s">
        <v>10</v>
      </c>
      <c r="C83" t="s">
        <v>20</v>
      </c>
      <c r="D83" s="2">
        <v>2122.79</v>
      </c>
      <c r="E83">
        <v>2500</v>
      </c>
      <c r="F83" s="5">
        <v>1200</v>
      </c>
      <c r="G83" s="5">
        <v>350</v>
      </c>
      <c r="H83" s="5">
        <v>300</v>
      </c>
      <c r="I83" t="s">
        <v>12</v>
      </c>
      <c r="J83" s="2">
        <f t="shared" si="4"/>
        <v>1850</v>
      </c>
      <c r="K83" s="2">
        <f t="shared" si="5"/>
        <v>3972.79</v>
      </c>
      <c r="L83" s="6">
        <f t="shared" si="6"/>
        <v>0.84911599999999998</v>
      </c>
      <c r="M83" t="str">
        <f t="shared" si="7"/>
        <v>Abaixo do Piso</v>
      </c>
    </row>
    <row r="84" spans="1:13" x14ac:dyDescent="0.25">
      <c r="A84" t="s">
        <v>103</v>
      </c>
      <c r="B84" t="s">
        <v>22</v>
      </c>
      <c r="C84" t="s">
        <v>15</v>
      </c>
      <c r="D84" s="2">
        <v>6617.89</v>
      </c>
      <c r="E84">
        <v>7500</v>
      </c>
      <c r="F84" s="5">
        <v>1200</v>
      </c>
      <c r="G84" s="5">
        <v>350</v>
      </c>
      <c r="H84" s="5">
        <v>300</v>
      </c>
      <c r="I84" t="s">
        <v>12</v>
      </c>
      <c r="J84" s="2">
        <f t="shared" si="4"/>
        <v>1850</v>
      </c>
      <c r="K84" s="2">
        <f t="shared" si="5"/>
        <v>8467.89</v>
      </c>
      <c r="L84" s="6">
        <f t="shared" si="6"/>
        <v>0.88238533333333335</v>
      </c>
      <c r="M84" t="str">
        <f t="shared" si="7"/>
        <v>Enquadrado</v>
      </c>
    </row>
    <row r="85" spans="1:13" x14ac:dyDescent="0.25">
      <c r="A85" t="s">
        <v>104</v>
      </c>
      <c r="B85" t="s">
        <v>22</v>
      </c>
      <c r="C85" t="s">
        <v>11</v>
      </c>
      <c r="D85" s="2">
        <v>4759.5200000000004</v>
      </c>
      <c r="E85">
        <v>4500</v>
      </c>
      <c r="F85" s="5">
        <v>1200</v>
      </c>
      <c r="G85" s="5">
        <v>350</v>
      </c>
      <c r="H85" s="5">
        <v>300</v>
      </c>
      <c r="I85" t="s">
        <v>12</v>
      </c>
      <c r="J85" s="2">
        <f t="shared" si="4"/>
        <v>1850</v>
      </c>
      <c r="K85" s="2">
        <f t="shared" si="5"/>
        <v>6609.52</v>
      </c>
      <c r="L85" s="6">
        <f t="shared" si="6"/>
        <v>1.0576711111111112</v>
      </c>
      <c r="M85" t="str">
        <f t="shared" si="7"/>
        <v>Enquadrado</v>
      </c>
    </row>
    <row r="86" spans="1:13" x14ac:dyDescent="0.25">
      <c r="A86" t="s">
        <v>105</v>
      </c>
      <c r="B86" t="s">
        <v>10</v>
      </c>
      <c r="C86" t="s">
        <v>23</v>
      </c>
      <c r="D86" s="2">
        <v>16643.509999999998</v>
      </c>
      <c r="E86">
        <v>16000</v>
      </c>
      <c r="F86" s="5">
        <v>1200</v>
      </c>
      <c r="G86" s="5">
        <v>350</v>
      </c>
      <c r="H86" s="5">
        <v>300</v>
      </c>
      <c r="I86" t="s">
        <v>12</v>
      </c>
      <c r="J86" s="2">
        <f t="shared" si="4"/>
        <v>1850</v>
      </c>
      <c r="K86" s="2">
        <f t="shared" si="5"/>
        <v>18493.509999999998</v>
      </c>
      <c r="L86" s="6">
        <f t="shared" si="6"/>
        <v>1.0402193749999999</v>
      </c>
      <c r="M86" t="str">
        <f t="shared" si="7"/>
        <v>Enquadrado</v>
      </c>
    </row>
    <row r="87" spans="1:13" x14ac:dyDescent="0.25">
      <c r="A87" t="s">
        <v>106</v>
      </c>
      <c r="B87" t="s">
        <v>27</v>
      </c>
      <c r="C87" t="s">
        <v>11</v>
      </c>
      <c r="D87" s="2">
        <v>4917.71</v>
      </c>
      <c r="E87">
        <v>4500</v>
      </c>
      <c r="F87" s="5">
        <v>1200</v>
      </c>
      <c r="G87" s="5">
        <v>350</v>
      </c>
      <c r="H87" s="5">
        <v>300</v>
      </c>
      <c r="I87" t="s">
        <v>12</v>
      </c>
      <c r="J87" s="2">
        <f t="shared" si="4"/>
        <v>1850</v>
      </c>
      <c r="K87" s="2">
        <f t="shared" si="5"/>
        <v>6767.71</v>
      </c>
      <c r="L87" s="6">
        <f t="shared" si="6"/>
        <v>1.0928244444444444</v>
      </c>
      <c r="M87" t="str">
        <f t="shared" si="7"/>
        <v>Enquadrado</v>
      </c>
    </row>
    <row r="88" spans="1:13" x14ac:dyDescent="0.25">
      <c r="A88" t="s">
        <v>107</v>
      </c>
      <c r="B88" t="s">
        <v>10</v>
      </c>
      <c r="C88" t="s">
        <v>20</v>
      </c>
      <c r="D88" s="2">
        <v>2134.7399999999998</v>
      </c>
      <c r="E88">
        <v>2500</v>
      </c>
      <c r="F88" s="5">
        <v>1200</v>
      </c>
      <c r="G88" s="5">
        <v>350</v>
      </c>
      <c r="H88" s="5">
        <v>300</v>
      </c>
      <c r="I88" t="s">
        <v>12</v>
      </c>
      <c r="J88" s="2">
        <f t="shared" si="4"/>
        <v>1850</v>
      </c>
      <c r="K88" s="2">
        <f t="shared" si="5"/>
        <v>3984.74</v>
      </c>
      <c r="L88" s="6">
        <f t="shared" si="6"/>
        <v>0.85389599999999988</v>
      </c>
      <c r="M88" t="str">
        <f t="shared" si="7"/>
        <v>Enquadrado</v>
      </c>
    </row>
    <row r="89" spans="1:13" x14ac:dyDescent="0.25">
      <c r="A89" t="s">
        <v>108</v>
      </c>
      <c r="B89" t="s">
        <v>10</v>
      </c>
      <c r="C89" t="s">
        <v>23</v>
      </c>
      <c r="D89" s="2">
        <v>15851.24</v>
      </c>
      <c r="E89">
        <v>16000</v>
      </c>
      <c r="F89" s="5">
        <v>1200</v>
      </c>
      <c r="G89" s="5">
        <v>350</v>
      </c>
      <c r="H89" s="5">
        <v>300</v>
      </c>
      <c r="I89" t="s">
        <v>12</v>
      </c>
      <c r="J89" s="2">
        <f t="shared" si="4"/>
        <v>1850</v>
      </c>
      <c r="K89" s="2">
        <f t="shared" si="5"/>
        <v>17701.239999999998</v>
      </c>
      <c r="L89" s="6">
        <f t="shared" si="6"/>
        <v>0.99070250000000004</v>
      </c>
      <c r="M89" t="str">
        <f t="shared" si="7"/>
        <v>Enquadrado</v>
      </c>
    </row>
    <row r="90" spans="1:13" x14ac:dyDescent="0.25">
      <c r="A90" t="s">
        <v>109</v>
      </c>
      <c r="B90" t="s">
        <v>17</v>
      </c>
      <c r="C90" t="s">
        <v>15</v>
      </c>
      <c r="D90" s="2">
        <v>6617.65</v>
      </c>
      <c r="E90">
        <v>7500</v>
      </c>
      <c r="F90" s="5">
        <v>1200</v>
      </c>
      <c r="G90" s="5">
        <v>350</v>
      </c>
      <c r="H90" s="5">
        <v>300</v>
      </c>
      <c r="I90" t="s">
        <v>12</v>
      </c>
      <c r="J90" s="2">
        <f t="shared" si="4"/>
        <v>1850</v>
      </c>
      <c r="K90" s="2">
        <f t="shared" si="5"/>
        <v>8467.65</v>
      </c>
      <c r="L90" s="6">
        <f t="shared" si="6"/>
        <v>0.88235333333333332</v>
      </c>
      <c r="M90" t="str">
        <f t="shared" si="7"/>
        <v>Enquadrado</v>
      </c>
    </row>
    <row r="91" spans="1:13" x14ac:dyDescent="0.25">
      <c r="A91" t="s">
        <v>110</v>
      </c>
      <c r="B91" t="s">
        <v>14</v>
      </c>
      <c r="C91" t="s">
        <v>11</v>
      </c>
      <c r="D91" s="2">
        <v>5227.62</v>
      </c>
      <c r="E91">
        <v>4500</v>
      </c>
      <c r="F91" s="5">
        <v>1200</v>
      </c>
      <c r="G91" s="5">
        <v>750</v>
      </c>
      <c r="H91" s="5">
        <v>300</v>
      </c>
      <c r="I91" t="s">
        <v>12</v>
      </c>
      <c r="J91" s="2">
        <f t="shared" si="4"/>
        <v>2250</v>
      </c>
      <c r="K91" s="2">
        <f t="shared" si="5"/>
        <v>7477.62</v>
      </c>
      <c r="L91" s="6">
        <f t="shared" si="6"/>
        <v>1.1616933333333332</v>
      </c>
      <c r="M91" t="str">
        <f t="shared" si="7"/>
        <v>Acima do Teto</v>
      </c>
    </row>
    <row r="92" spans="1:13" x14ac:dyDescent="0.25">
      <c r="A92" t="s">
        <v>111</v>
      </c>
      <c r="B92" t="s">
        <v>14</v>
      </c>
      <c r="C92" t="s">
        <v>11</v>
      </c>
      <c r="D92" s="2">
        <v>4703.8900000000003</v>
      </c>
      <c r="E92">
        <v>4500</v>
      </c>
      <c r="F92" s="5">
        <v>1200</v>
      </c>
      <c r="G92" s="5">
        <v>500</v>
      </c>
      <c r="H92" s="5">
        <v>300</v>
      </c>
      <c r="I92" t="s">
        <v>12</v>
      </c>
      <c r="J92" s="2">
        <f t="shared" si="4"/>
        <v>2000</v>
      </c>
      <c r="K92" s="2">
        <f t="shared" si="5"/>
        <v>6703.89</v>
      </c>
      <c r="L92" s="6">
        <f t="shared" si="6"/>
        <v>1.0453088888888891</v>
      </c>
      <c r="M92" t="str">
        <f t="shared" si="7"/>
        <v>Enquadrado</v>
      </c>
    </row>
    <row r="93" spans="1:13" x14ac:dyDescent="0.25">
      <c r="A93" t="s">
        <v>112</v>
      </c>
      <c r="B93" t="s">
        <v>10</v>
      </c>
      <c r="C93" t="s">
        <v>18</v>
      </c>
      <c r="D93" s="2">
        <v>11728.5</v>
      </c>
      <c r="E93">
        <v>11000</v>
      </c>
      <c r="F93" s="5">
        <v>1200</v>
      </c>
      <c r="G93" s="5">
        <v>500</v>
      </c>
      <c r="H93" s="5">
        <v>300</v>
      </c>
      <c r="I93" t="s">
        <v>12</v>
      </c>
      <c r="J93" s="2">
        <f t="shared" si="4"/>
        <v>2000</v>
      </c>
      <c r="K93" s="2">
        <f t="shared" si="5"/>
        <v>13728.5</v>
      </c>
      <c r="L93" s="6">
        <f t="shared" si="6"/>
        <v>1.0662272727272728</v>
      </c>
      <c r="M93" t="str">
        <f t="shared" si="7"/>
        <v>Enquadrado</v>
      </c>
    </row>
    <row r="94" spans="1:13" x14ac:dyDescent="0.25">
      <c r="A94" t="s">
        <v>113</v>
      </c>
      <c r="B94" t="s">
        <v>14</v>
      </c>
      <c r="C94" t="s">
        <v>33</v>
      </c>
      <c r="D94" s="2">
        <v>12443.16</v>
      </c>
      <c r="E94">
        <v>15000</v>
      </c>
      <c r="F94" s="5">
        <v>1200</v>
      </c>
      <c r="G94" s="5">
        <v>500</v>
      </c>
      <c r="H94" s="5">
        <v>300</v>
      </c>
      <c r="I94" t="s">
        <v>12</v>
      </c>
      <c r="J94" s="2">
        <f t="shared" si="4"/>
        <v>2000</v>
      </c>
      <c r="K94" s="2">
        <f t="shared" si="5"/>
        <v>14443.16</v>
      </c>
      <c r="L94" s="6">
        <f t="shared" si="6"/>
        <v>0.82954399999999995</v>
      </c>
      <c r="M94" t="str">
        <f t="shared" si="7"/>
        <v>Abaixo do Piso</v>
      </c>
    </row>
    <row r="95" spans="1:13" x14ac:dyDescent="0.25">
      <c r="A95" t="s">
        <v>114</v>
      </c>
      <c r="B95" t="s">
        <v>17</v>
      </c>
      <c r="C95" t="s">
        <v>33</v>
      </c>
      <c r="D95" s="2">
        <v>14396.12</v>
      </c>
      <c r="E95">
        <v>15000</v>
      </c>
      <c r="F95" s="5">
        <v>1200</v>
      </c>
      <c r="G95" s="5">
        <v>500</v>
      </c>
      <c r="H95" s="5">
        <v>300</v>
      </c>
      <c r="I95" t="s">
        <v>12</v>
      </c>
      <c r="J95" s="2">
        <f t="shared" si="4"/>
        <v>2000</v>
      </c>
      <c r="K95" s="2">
        <f t="shared" si="5"/>
        <v>16396.120000000003</v>
      </c>
      <c r="L95" s="6">
        <f t="shared" si="6"/>
        <v>0.95974133333333334</v>
      </c>
      <c r="M95" t="str">
        <f t="shared" si="7"/>
        <v>Enquadrado</v>
      </c>
    </row>
    <row r="96" spans="1:13" x14ac:dyDescent="0.25">
      <c r="A96" t="s">
        <v>115</v>
      </c>
      <c r="B96" t="s">
        <v>27</v>
      </c>
      <c r="C96" t="s">
        <v>15</v>
      </c>
      <c r="D96" s="2">
        <v>8365.73</v>
      </c>
      <c r="E96">
        <v>7500</v>
      </c>
      <c r="F96" s="5">
        <v>1200</v>
      </c>
      <c r="G96" s="5">
        <v>500</v>
      </c>
      <c r="H96" s="5">
        <v>300</v>
      </c>
      <c r="I96" t="s">
        <v>12</v>
      </c>
      <c r="J96" s="2">
        <f t="shared" si="4"/>
        <v>2000</v>
      </c>
      <c r="K96" s="2">
        <f t="shared" si="5"/>
        <v>10365.73</v>
      </c>
      <c r="L96" s="6">
        <f t="shared" si="6"/>
        <v>1.1154306666666667</v>
      </c>
      <c r="M96" t="str">
        <f t="shared" si="7"/>
        <v>Enquadrado</v>
      </c>
    </row>
    <row r="97" spans="1:13" x14ac:dyDescent="0.25">
      <c r="A97" t="s">
        <v>116</v>
      </c>
      <c r="B97" t="s">
        <v>14</v>
      </c>
      <c r="C97" t="s">
        <v>18</v>
      </c>
      <c r="D97" s="2">
        <v>9838.4699999999993</v>
      </c>
      <c r="E97">
        <v>11000</v>
      </c>
      <c r="F97" s="5">
        <v>1200</v>
      </c>
      <c r="G97" s="5">
        <v>350</v>
      </c>
      <c r="H97" s="5">
        <v>300</v>
      </c>
      <c r="I97" t="s">
        <v>12</v>
      </c>
      <c r="J97" s="2">
        <f t="shared" si="4"/>
        <v>1850</v>
      </c>
      <c r="K97" s="2">
        <f t="shared" si="5"/>
        <v>11688.47</v>
      </c>
      <c r="L97" s="6">
        <f t="shared" si="6"/>
        <v>0.89440636363636361</v>
      </c>
      <c r="M97" t="str">
        <f t="shared" si="7"/>
        <v>Enquadrado</v>
      </c>
    </row>
    <row r="98" spans="1:13" x14ac:dyDescent="0.25">
      <c r="A98" t="s">
        <v>117</v>
      </c>
      <c r="B98" t="s">
        <v>14</v>
      </c>
      <c r="C98" t="s">
        <v>11</v>
      </c>
      <c r="D98" s="2">
        <v>3753.12</v>
      </c>
      <c r="E98">
        <v>4500</v>
      </c>
      <c r="F98" s="5">
        <v>1200</v>
      </c>
      <c r="G98" s="5">
        <v>500</v>
      </c>
      <c r="H98" s="5">
        <v>300</v>
      </c>
      <c r="I98" t="s">
        <v>12</v>
      </c>
      <c r="J98" s="2">
        <f t="shared" si="4"/>
        <v>2000</v>
      </c>
      <c r="K98" s="2">
        <f t="shared" si="5"/>
        <v>5753.12</v>
      </c>
      <c r="L98" s="6">
        <f t="shared" si="6"/>
        <v>0.83402666666666669</v>
      </c>
      <c r="M98" t="str">
        <f t="shared" si="7"/>
        <v>Abaixo do Piso</v>
      </c>
    </row>
    <row r="99" spans="1:13" x14ac:dyDescent="0.25">
      <c r="A99" t="s">
        <v>118</v>
      </c>
      <c r="B99" t="s">
        <v>14</v>
      </c>
      <c r="C99" t="s">
        <v>11</v>
      </c>
      <c r="D99" s="2">
        <v>4206.74</v>
      </c>
      <c r="E99">
        <v>4500</v>
      </c>
      <c r="F99" s="5">
        <v>1200</v>
      </c>
      <c r="G99" s="5">
        <v>750</v>
      </c>
      <c r="H99" s="5">
        <v>300</v>
      </c>
      <c r="I99" t="s">
        <v>12</v>
      </c>
      <c r="J99" s="2">
        <f t="shared" si="4"/>
        <v>2250</v>
      </c>
      <c r="K99" s="2">
        <f t="shared" si="5"/>
        <v>6456.74</v>
      </c>
      <c r="L99" s="6">
        <f t="shared" si="6"/>
        <v>0.93483111111111106</v>
      </c>
      <c r="M99" t="str">
        <f t="shared" si="7"/>
        <v>Enquadrado</v>
      </c>
    </row>
    <row r="100" spans="1:13" x14ac:dyDescent="0.25">
      <c r="A100" t="s">
        <v>119</v>
      </c>
      <c r="B100" t="s">
        <v>14</v>
      </c>
      <c r="C100" t="s">
        <v>20</v>
      </c>
      <c r="D100" s="2">
        <v>2284.63</v>
      </c>
      <c r="E100">
        <v>2500</v>
      </c>
      <c r="F100" s="5">
        <v>1200</v>
      </c>
      <c r="G100" s="5">
        <v>350</v>
      </c>
      <c r="H100" s="5">
        <v>300</v>
      </c>
      <c r="I100" t="s">
        <v>12</v>
      </c>
      <c r="J100" s="2">
        <f t="shared" si="4"/>
        <v>1850</v>
      </c>
      <c r="K100" s="2">
        <f t="shared" si="5"/>
        <v>4134.63</v>
      </c>
      <c r="L100" s="6">
        <f t="shared" si="6"/>
        <v>0.913852</v>
      </c>
      <c r="M100" t="str">
        <f t="shared" si="7"/>
        <v>Enquadrado</v>
      </c>
    </row>
    <row r="101" spans="1:13" x14ac:dyDescent="0.25">
      <c r="A101" t="s">
        <v>120</v>
      </c>
      <c r="B101" t="s">
        <v>14</v>
      </c>
      <c r="C101" t="s">
        <v>15</v>
      </c>
      <c r="D101" s="2">
        <v>7848.15</v>
      </c>
      <c r="E101">
        <v>7500</v>
      </c>
      <c r="F101" s="5">
        <v>1200</v>
      </c>
      <c r="G101" s="5">
        <v>750</v>
      </c>
      <c r="H101" s="5">
        <v>300</v>
      </c>
      <c r="I101" t="s">
        <v>12</v>
      </c>
      <c r="J101" s="2">
        <f t="shared" si="4"/>
        <v>2250</v>
      </c>
      <c r="K101" s="2">
        <f t="shared" si="5"/>
        <v>10098.15</v>
      </c>
      <c r="L101" s="6">
        <f t="shared" si="6"/>
        <v>1.0464199999999999</v>
      </c>
      <c r="M101" t="str">
        <f t="shared" si="7"/>
        <v>Enquadrado</v>
      </c>
    </row>
    <row r="102" spans="1:13" x14ac:dyDescent="0.25">
      <c r="A102" t="s">
        <v>121</v>
      </c>
      <c r="B102" t="s">
        <v>10</v>
      </c>
      <c r="C102" t="s">
        <v>15</v>
      </c>
      <c r="D102" s="2">
        <v>8762.4699999999993</v>
      </c>
      <c r="E102">
        <v>7500</v>
      </c>
      <c r="F102" s="5">
        <v>1200</v>
      </c>
      <c r="G102" s="5">
        <v>500</v>
      </c>
      <c r="H102" s="5">
        <v>300</v>
      </c>
      <c r="I102" t="s">
        <v>12</v>
      </c>
      <c r="J102" s="2">
        <f t="shared" si="4"/>
        <v>2000</v>
      </c>
      <c r="K102" s="2">
        <f t="shared" si="5"/>
        <v>10762.47</v>
      </c>
      <c r="L102" s="6">
        <f t="shared" si="6"/>
        <v>1.1683293333333333</v>
      </c>
      <c r="M102" t="str">
        <f t="shared" si="7"/>
        <v>Acima do Teto</v>
      </c>
    </row>
    <row r="103" spans="1:13" x14ac:dyDescent="0.25">
      <c r="A103" t="s">
        <v>122</v>
      </c>
      <c r="B103" t="s">
        <v>27</v>
      </c>
      <c r="C103" t="s">
        <v>11</v>
      </c>
      <c r="D103" s="2">
        <v>5294.62</v>
      </c>
      <c r="E103">
        <v>4500</v>
      </c>
      <c r="F103" s="5">
        <v>1200</v>
      </c>
      <c r="G103" s="5">
        <v>350</v>
      </c>
      <c r="H103" s="5">
        <v>300</v>
      </c>
      <c r="I103" t="s">
        <v>12</v>
      </c>
      <c r="J103" s="2">
        <f t="shared" si="4"/>
        <v>1850</v>
      </c>
      <c r="K103" s="2">
        <f t="shared" si="5"/>
        <v>7144.62</v>
      </c>
      <c r="L103" s="6">
        <f t="shared" si="6"/>
        <v>1.1765822222222222</v>
      </c>
      <c r="M103" t="str">
        <f t="shared" si="7"/>
        <v>Acima do Teto</v>
      </c>
    </row>
    <row r="104" spans="1:13" x14ac:dyDescent="0.25">
      <c r="A104" t="s">
        <v>123</v>
      </c>
      <c r="B104" t="s">
        <v>10</v>
      </c>
      <c r="C104" t="s">
        <v>11</v>
      </c>
      <c r="D104" s="2">
        <v>4076.53</v>
      </c>
      <c r="E104">
        <v>4500</v>
      </c>
      <c r="F104" s="5">
        <v>1200</v>
      </c>
      <c r="G104" s="5">
        <v>500</v>
      </c>
      <c r="H104" s="5">
        <v>300</v>
      </c>
      <c r="I104" t="s">
        <v>12</v>
      </c>
      <c r="J104" s="2">
        <f t="shared" si="4"/>
        <v>2000</v>
      </c>
      <c r="K104" s="2">
        <f t="shared" si="5"/>
        <v>6076.5300000000007</v>
      </c>
      <c r="L104" s="6">
        <f t="shared" si="6"/>
        <v>0.90589555555555556</v>
      </c>
      <c r="M104" t="str">
        <f t="shared" si="7"/>
        <v>Enquadrado</v>
      </c>
    </row>
    <row r="105" spans="1:13" x14ac:dyDescent="0.25">
      <c r="A105" t="s">
        <v>124</v>
      </c>
      <c r="B105" t="s">
        <v>27</v>
      </c>
      <c r="C105" t="s">
        <v>15</v>
      </c>
      <c r="D105" s="2">
        <v>6428.43</v>
      </c>
      <c r="E105">
        <v>7500</v>
      </c>
      <c r="F105" s="5">
        <v>1200</v>
      </c>
      <c r="G105" s="5">
        <v>750</v>
      </c>
      <c r="H105" s="5">
        <v>300</v>
      </c>
      <c r="I105" t="s">
        <v>12</v>
      </c>
      <c r="J105" s="2">
        <f t="shared" si="4"/>
        <v>2250</v>
      </c>
      <c r="K105" s="2">
        <f t="shared" si="5"/>
        <v>8678.43</v>
      </c>
      <c r="L105" s="6">
        <f t="shared" si="6"/>
        <v>0.857124</v>
      </c>
      <c r="M105" t="str">
        <f t="shared" si="7"/>
        <v>Enquadrado</v>
      </c>
    </row>
    <row r="106" spans="1:13" x14ac:dyDescent="0.25">
      <c r="A106" t="s">
        <v>125</v>
      </c>
      <c r="B106" t="s">
        <v>22</v>
      </c>
      <c r="C106" t="s">
        <v>15</v>
      </c>
      <c r="D106" s="2">
        <v>7014.13</v>
      </c>
      <c r="E106">
        <v>7500</v>
      </c>
      <c r="F106" s="5">
        <v>1200</v>
      </c>
      <c r="G106" s="5">
        <v>750</v>
      </c>
      <c r="H106" s="5">
        <v>300</v>
      </c>
      <c r="I106" t="s">
        <v>12</v>
      </c>
      <c r="J106" s="2">
        <f t="shared" si="4"/>
        <v>2250</v>
      </c>
      <c r="K106" s="2">
        <f t="shared" si="5"/>
        <v>9264.130000000001</v>
      </c>
      <c r="L106" s="6">
        <f t="shared" si="6"/>
        <v>0.93521733333333334</v>
      </c>
      <c r="M106" t="str">
        <f t="shared" si="7"/>
        <v>Enquadrado</v>
      </c>
    </row>
    <row r="107" spans="1:13" x14ac:dyDescent="0.25">
      <c r="A107" t="s">
        <v>126</v>
      </c>
      <c r="B107" t="s">
        <v>17</v>
      </c>
      <c r="C107" t="s">
        <v>11</v>
      </c>
      <c r="D107" s="2">
        <v>5242.84</v>
      </c>
      <c r="E107">
        <v>4500</v>
      </c>
      <c r="F107" s="5">
        <v>1200</v>
      </c>
      <c r="G107" s="5">
        <v>750</v>
      </c>
      <c r="H107" s="5">
        <v>300</v>
      </c>
      <c r="I107" t="s">
        <v>12</v>
      </c>
      <c r="J107" s="2">
        <f t="shared" si="4"/>
        <v>2250</v>
      </c>
      <c r="K107" s="2">
        <f t="shared" si="5"/>
        <v>7492.84</v>
      </c>
      <c r="L107" s="6">
        <f t="shared" si="6"/>
        <v>1.1650755555555556</v>
      </c>
      <c r="M107" t="str">
        <f t="shared" si="7"/>
        <v>Acima do Teto</v>
      </c>
    </row>
    <row r="108" spans="1:13" x14ac:dyDescent="0.25">
      <c r="A108" t="s">
        <v>127</v>
      </c>
      <c r="B108" t="s">
        <v>17</v>
      </c>
      <c r="C108" t="s">
        <v>11</v>
      </c>
      <c r="D108" s="2">
        <v>5229.1000000000004</v>
      </c>
      <c r="E108">
        <v>4500</v>
      </c>
      <c r="F108" s="5">
        <v>1200</v>
      </c>
      <c r="G108" s="5">
        <v>750</v>
      </c>
      <c r="H108" s="5">
        <v>300</v>
      </c>
      <c r="I108" t="s">
        <v>12</v>
      </c>
      <c r="J108" s="2">
        <f t="shared" si="4"/>
        <v>2250</v>
      </c>
      <c r="K108" s="2">
        <f t="shared" si="5"/>
        <v>7479.1</v>
      </c>
      <c r="L108" s="6">
        <f t="shared" si="6"/>
        <v>1.1620222222222223</v>
      </c>
      <c r="M108" t="str">
        <f t="shared" si="7"/>
        <v>Acima do Teto</v>
      </c>
    </row>
    <row r="109" spans="1:13" x14ac:dyDescent="0.25">
      <c r="A109" t="s">
        <v>128</v>
      </c>
      <c r="B109" t="s">
        <v>10</v>
      </c>
      <c r="C109" t="s">
        <v>15</v>
      </c>
      <c r="D109" s="2">
        <v>6397.6</v>
      </c>
      <c r="E109">
        <v>7500</v>
      </c>
      <c r="F109" s="5">
        <v>1200</v>
      </c>
      <c r="G109" s="5">
        <v>500</v>
      </c>
      <c r="H109" s="5">
        <v>300</v>
      </c>
      <c r="I109" t="s">
        <v>12</v>
      </c>
      <c r="J109" s="2">
        <f t="shared" si="4"/>
        <v>2000</v>
      </c>
      <c r="K109" s="2">
        <f t="shared" si="5"/>
        <v>8397.6</v>
      </c>
      <c r="L109" s="6">
        <f t="shared" si="6"/>
        <v>0.8530133333333334</v>
      </c>
      <c r="M109" t="str">
        <f t="shared" si="7"/>
        <v>Enquadrado</v>
      </c>
    </row>
    <row r="110" spans="1:13" x14ac:dyDescent="0.25">
      <c r="A110" t="s">
        <v>129</v>
      </c>
      <c r="B110" t="s">
        <v>10</v>
      </c>
      <c r="C110" t="s">
        <v>15</v>
      </c>
      <c r="D110" s="2">
        <v>8181.41</v>
      </c>
      <c r="E110">
        <v>7500</v>
      </c>
      <c r="F110" s="5">
        <v>1200</v>
      </c>
      <c r="G110" s="5">
        <v>500</v>
      </c>
      <c r="H110" s="5">
        <v>300</v>
      </c>
      <c r="I110" t="s">
        <v>12</v>
      </c>
      <c r="J110" s="2">
        <f t="shared" si="4"/>
        <v>2000</v>
      </c>
      <c r="K110" s="2">
        <f t="shared" si="5"/>
        <v>10181.41</v>
      </c>
      <c r="L110" s="6">
        <f t="shared" si="6"/>
        <v>1.0908546666666668</v>
      </c>
      <c r="M110" t="str">
        <f t="shared" si="7"/>
        <v>Enquadrado</v>
      </c>
    </row>
    <row r="111" spans="1:13" x14ac:dyDescent="0.25">
      <c r="A111" t="s">
        <v>130</v>
      </c>
      <c r="B111" t="s">
        <v>10</v>
      </c>
      <c r="C111" t="s">
        <v>18</v>
      </c>
      <c r="D111" s="2">
        <v>12706.48</v>
      </c>
      <c r="E111">
        <v>11000</v>
      </c>
      <c r="F111" s="5">
        <v>1200</v>
      </c>
      <c r="G111" s="5">
        <v>750</v>
      </c>
      <c r="H111" s="5">
        <v>300</v>
      </c>
      <c r="I111" t="s">
        <v>12</v>
      </c>
      <c r="J111" s="2">
        <f t="shared" si="4"/>
        <v>2250</v>
      </c>
      <c r="K111" s="2">
        <f t="shared" si="5"/>
        <v>14956.48</v>
      </c>
      <c r="L111" s="6">
        <f t="shared" si="6"/>
        <v>1.1551345454545454</v>
      </c>
      <c r="M111" t="str">
        <f t="shared" si="7"/>
        <v>Acima do Teto</v>
      </c>
    </row>
    <row r="112" spans="1:13" x14ac:dyDescent="0.25">
      <c r="A112" t="s">
        <v>131</v>
      </c>
      <c r="B112" t="s">
        <v>14</v>
      </c>
      <c r="C112" t="s">
        <v>23</v>
      </c>
      <c r="D112" s="2">
        <v>15663.22</v>
      </c>
      <c r="E112">
        <v>16000</v>
      </c>
      <c r="F112" s="5">
        <v>1200</v>
      </c>
      <c r="G112" s="5">
        <v>750</v>
      </c>
      <c r="H112" s="5">
        <v>300</v>
      </c>
      <c r="I112" t="s">
        <v>12</v>
      </c>
      <c r="J112" s="2">
        <f t="shared" si="4"/>
        <v>2250</v>
      </c>
      <c r="K112" s="2">
        <f t="shared" si="5"/>
        <v>17913.22</v>
      </c>
      <c r="L112" s="6">
        <f t="shared" si="6"/>
        <v>0.97895124999999994</v>
      </c>
      <c r="M112" t="str">
        <f t="shared" si="7"/>
        <v>Enquadrado</v>
      </c>
    </row>
    <row r="113" spans="1:13" x14ac:dyDescent="0.25">
      <c r="A113" t="s">
        <v>132</v>
      </c>
      <c r="B113" t="s">
        <v>14</v>
      </c>
      <c r="C113" t="s">
        <v>11</v>
      </c>
      <c r="D113" s="2">
        <v>5259.22</v>
      </c>
      <c r="E113">
        <v>4500</v>
      </c>
      <c r="F113" s="5">
        <v>1200</v>
      </c>
      <c r="G113" s="5">
        <v>500</v>
      </c>
      <c r="H113" s="5">
        <v>300</v>
      </c>
      <c r="I113" t="s">
        <v>12</v>
      </c>
      <c r="J113" s="2">
        <f t="shared" si="4"/>
        <v>2000</v>
      </c>
      <c r="K113" s="2">
        <f t="shared" si="5"/>
        <v>7259.22</v>
      </c>
      <c r="L113" s="6">
        <f t="shared" si="6"/>
        <v>1.1687155555555555</v>
      </c>
      <c r="M113" t="str">
        <f t="shared" si="7"/>
        <v>Acima do Teto</v>
      </c>
    </row>
    <row r="114" spans="1:13" x14ac:dyDescent="0.25">
      <c r="A114" t="s">
        <v>133</v>
      </c>
      <c r="B114" t="s">
        <v>22</v>
      </c>
      <c r="C114" t="s">
        <v>18</v>
      </c>
      <c r="D114" s="2">
        <v>9420.4500000000007</v>
      </c>
      <c r="E114">
        <v>11000</v>
      </c>
      <c r="F114" s="5">
        <v>1200</v>
      </c>
      <c r="G114" s="5">
        <v>350</v>
      </c>
      <c r="H114" s="5">
        <v>300</v>
      </c>
      <c r="I114" t="s">
        <v>12</v>
      </c>
      <c r="J114" s="2">
        <f t="shared" si="4"/>
        <v>1850</v>
      </c>
      <c r="K114" s="2">
        <f t="shared" si="5"/>
        <v>11270.45</v>
      </c>
      <c r="L114" s="6">
        <f t="shared" si="6"/>
        <v>0.85640454545454547</v>
      </c>
      <c r="M114" t="str">
        <f t="shared" si="7"/>
        <v>Enquadrado</v>
      </c>
    </row>
    <row r="115" spans="1:13" x14ac:dyDescent="0.25">
      <c r="A115" t="s">
        <v>134</v>
      </c>
      <c r="B115" t="s">
        <v>14</v>
      </c>
      <c r="C115" t="s">
        <v>15</v>
      </c>
      <c r="D115" s="2">
        <v>7220.96</v>
      </c>
      <c r="E115">
        <v>7500</v>
      </c>
      <c r="F115" s="5">
        <v>1200</v>
      </c>
      <c r="G115" s="5">
        <v>750</v>
      </c>
      <c r="H115" s="5">
        <v>300</v>
      </c>
      <c r="I115" t="s">
        <v>12</v>
      </c>
      <c r="J115" s="2">
        <f t="shared" si="4"/>
        <v>2250</v>
      </c>
      <c r="K115" s="2">
        <f t="shared" si="5"/>
        <v>9470.9599999999991</v>
      </c>
      <c r="L115" s="6">
        <f t="shared" si="6"/>
        <v>0.96279466666666669</v>
      </c>
      <c r="M115" t="str">
        <f t="shared" si="7"/>
        <v>Enquadrado</v>
      </c>
    </row>
    <row r="116" spans="1:13" x14ac:dyDescent="0.25">
      <c r="A116" t="s">
        <v>135</v>
      </c>
      <c r="B116" t="s">
        <v>10</v>
      </c>
      <c r="C116" t="s">
        <v>20</v>
      </c>
      <c r="D116" s="2">
        <v>2126.35</v>
      </c>
      <c r="E116">
        <v>2500</v>
      </c>
      <c r="F116" s="5">
        <v>1200</v>
      </c>
      <c r="G116" s="5">
        <v>750</v>
      </c>
      <c r="H116" s="5">
        <v>300</v>
      </c>
      <c r="I116" t="s">
        <v>12</v>
      </c>
      <c r="J116" s="2">
        <f t="shared" si="4"/>
        <v>2250</v>
      </c>
      <c r="K116" s="2">
        <f t="shared" si="5"/>
        <v>4376.3500000000004</v>
      </c>
      <c r="L116" s="6">
        <f t="shared" si="6"/>
        <v>0.85053999999999996</v>
      </c>
      <c r="M116" t="str">
        <f t="shared" si="7"/>
        <v>Enquadrado</v>
      </c>
    </row>
    <row r="117" spans="1:13" x14ac:dyDescent="0.25">
      <c r="A117" t="s">
        <v>136</v>
      </c>
      <c r="B117" t="s">
        <v>22</v>
      </c>
      <c r="C117" t="s">
        <v>11</v>
      </c>
      <c r="D117" s="2">
        <v>5116.18</v>
      </c>
      <c r="E117">
        <v>4500</v>
      </c>
      <c r="F117" s="5">
        <v>1200</v>
      </c>
      <c r="G117" s="5">
        <v>350</v>
      </c>
      <c r="H117" s="5">
        <v>300</v>
      </c>
      <c r="I117" t="s">
        <v>12</v>
      </c>
      <c r="J117" s="2">
        <f t="shared" si="4"/>
        <v>1850</v>
      </c>
      <c r="K117" s="2">
        <f t="shared" si="5"/>
        <v>6966.18</v>
      </c>
      <c r="L117" s="6">
        <f t="shared" si="6"/>
        <v>1.1369288888888889</v>
      </c>
      <c r="M117" t="str">
        <f t="shared" si="7"/>
        <v>Enquadrado</v>
      </c>
    </row>
    <row r="118" spans="1:13" x14ac:dyDescent="0.25">
      <c r="A118" t="s">
        <v>137</v>
      </c>
      <c r="B118" t="s">
        <v>10</v>
      </c>
      <c r="C118" t="s">
        <v>33</v>
      </c>
      <c r="D118" s="2">
        <v>16368.24</v>
      </c>
      <c r="E118">
        <v>15000</v>
      </c>
      <c r="F118" s="5">
        <v>1200</v>
      </c>
      <c r="G118" s="5">
        <v>350</v>
      </c>
      <c r="H118" s="5">
        <v>300</v>
      </c>
      <c r="I118" t="s">
        <v>12</v>
      </c>
      <c r="J118" s="2">
        <f t="shared" si="4"/>
        <v>1850</v>
      </c>
      <c r="K118" s="2">
        <f t="shared" si="5"/>
        <v>18218.239999999998</v>
      </c>
      <c r="L118" s="6">
        <f t="shared" si="6"/>
        <v>1.091216</v>
      </c>
      <c r="M118" t="str">
        <f t="shared" si="7"/>
        <v>Enquadrado</v>
      </c>
    </row>
    <row r="119" spans="1:13" x14ac:dyDescent="0.25">
      <c r="A119" t="s">
        <v>138</v>
      </c>
      <c r="B119" t="s">
        <v>10</v>
      </c>
      <c r="C119" t="s">
        <v>20</v>
      </c>
      <c r="D119" s="2">
        <v>2390.19</v>
      </c>
      <c r="E119">
        <v>2500</v>
      </c>
      <c r="F119" s="5">
        <v>1200</v>
      </c>
      <c r="G119" s="5">
        <v>500</v>
      </c>
      <c r="H119" s="5">
        <v>300</v>
      </c>
      <c r="I119" t="s">
        <v>12</v>
      </c>
      <c r="J119" s="2">
        <f t="shared" si="4"/>
        <v>2000</v>
      </c>
      <c r="K119" s="2">
        <f t="shared" si="5"/>
        <v>4390.1900000000005</v>
      </c>
      <c r="L119" s="6">
        <f t="shared" si="6"/>
        <v>0.95607600000000004</v>
      </c>
      <c r="M119" t="str">
        <f t="shared" si="7"/>
        <v>Enquadrado</v>
      </c>
    </row>
    <row r="120" spans="1:13" x14ac:dyDescent="0.25">
      <c r="A120" t="s">
        <v>139</v>
      </c>
      <c r="B120" t="s">
        <v>27</v>
      </c>
      <c r="C120" t="s">
        <v>11</v>
      </c>
      <c r="D120" s="2">
        <v>3870.14</v>
      </c>
      <c r="E120">
        <v>4500</v>
      </c>
      <c r="F120" s="5">
        <v>1200</v>
      </c>
      <c r="G120" s="5">
        <v>350</v>
      </c>
      <c r="H120" s="5">
        <v>300</v>
      </c>
      <c r="I120" t="s">
        <v>12</v>
      </c>
      <c r="J120" s="2">
        <f t="shared" si="4"/>
        <v>1850</v>
      </c>
      <c r="K120" s="2">
        <f t="shared" si="5"/>
        <v>5720.1399999999994</v>
      </c>
      <c r="L120" s="6">
        <f t="shared" si="6"/>
        <v>0.86003111111111108</v>
      </c>
      <c r="M120" t="str">
        <f t="shared" si="7"/>
        <v>Enquadrado</v>
      </c>
    </row>
    <row r="121" spans="1:13" x14ac:dyDescent="0.25">
      <c r="A121" t="s">
        <v>140</v>
      </c>
      <c r="B121" t="s">
        <v>17</v>
      </c>
      <c r="C121" t="s">
        <v>20</v>
      </c>
      <c r="D121" s="2">
        <v>2564.33</v>
      </c>
      <c r="E121">
        <v>2500</v>
      </c>
      <c r="F121" s="5">
        <v>1200</v>
      </c>
      <c r="G121" s="5">
        <v>500</v>
      </c>
      <c r="H121" s="5">
        <v>300</v>
      </c>
      <c r="I121" t="s">
        <v>12</v>
      </c>
      <c r="J121" s="2">
        <f t="shared" si="4"/>
        <v>2000</v>
      </c>
      <c r="K121" s="2">
        <f t="shared" si="5"/>
        <v>4564.33</v>
      </c>
      <c r="L121" s="6">
        <f t="shared" si="6"/>
        <v>1.0257319999999999</v>
      </c>
      <c r="M121" t="str">
        <f t="shared" si="7"/>
        <v>Enquadrado</v>
      </c>
    </row>
    <row r="122" spans="1:13" x14ac:dyDescent="0.25">
      <c r="A122" t="s">
        <v>141</v>
      </c>
      <c r="B122" t="s">
        <v>22</v>
      </c>
      <c r="C122" t="s">
        <v>18</v>
      </c>
      <c r="D122" s="2">
        <v>11967.08</v>
      </c>
      <c r="E122">
        <v>11000</v>
      </c>
      <c r="F122" s="5">
        <v>1200</v>
      </c>
      <c r="G122" s="5">
        <v>500</v>
      </c>
      <c r="H122" s="5">
        <v>300</v>
      </c>
      <c r="I122" t="s">
        <v>12</v>
      </c>
      <c r="J122" s="2">
        <f t="shared" si="4"/>
        <v>2000</v>
      </c>
      <c r="K122" s="2">
        <f t="shared" si="5"/>
        <v>13967.08</v>
      </c>
      <c r="L122" s="6">
        <f t="shared" si="6"/>
        <v>1.0879163636363636</v>
      </c>
      <c r="M122" t="str">
        <f t="shared" si="7"/>
        <v>Enquadrado</v>
      </c>
    </row>
    <row r="123" spans="1:13" x14ac:dyDescent="0.25">
      <c r="A123" t="s">
        <v>142</v>
      </c>
      <c r="B123" t="s">
        <v>22</v>
      </c>
      <c r="C123" t="s">
        <v>11</v>
      </c>
      <c r="D123" s="2">
        <v>4297.29</v>
      </c>
      <c r="E123">
        <v>4500</v>
      </c>
      <c r="F123" s="5">
        <v>1200</v>
      </c>
      <c r="G123" s="5">
        <v>350</v>
      </c>
      <c r="H123" s="5">
        <v>300</v>
      </c>
      <c r="I123" t="s">
        <v>12</v>
      </c>
      <c r="J123" s="2">
        <f t="shared" si="4"/>
        <v>1850</v>
      </c>
      <c r="K123" s="2">
        <f t="shared" si="5"/>
        <v>6147.29</v>
      </c>
      <c r="L123" s="6">
        <f t="shared" si="6"/>
        <v>0.95495333333333332</v>
      </c>
      <c r="M123" t="str">
        <f t="shared" si="7"/>
        <v>Enquadrado</v>
      </c>
    </row>
    <row r="124" spans="1:13" x14ac:dyDescent="0.25">
      <c r="A124" t="s">
        <v>143</v>
      </c>
      <c r="B124" t="s">
        <v>10</v>
      </c>
      <c r="C124" t="s">
        <v>18</v>
      </c>
      <c r="D124" s="2">
        <v>12834.36</v>
      </c>
      <c r="E124">
        <v>11000</v>
      </c>
      <c r="F124" s="5">
        <v>1200</v>
      </c>
      <c r="G124" s="5">
        <v>350</v>
      </c>
      <c r="H124" s="5">
        <v>300</v>
      </c>
      <c r="I124" t="s">
        <v>12</v>
      </c>
      <c r="J124" s="2">
        <f t="shared" si="4"/>
        <v>1850</v>
      </c>
      <c r="K124" s="2">
        <f t="shared" si="5"/>
        <v>14684.36</v>
      </c>
      <c r="L124" s="6">
        <f t="shared" si="6"/>
        <v>1.16676</v>
      </c>
      <c r="M124" t="str">
        <f t="shared" si="7"/>
        <v>Acima do Teto</v>
      </c>
    </row>
    <row r="125" spans="1:13" x14ac:dyDescent="0.25">
      <c r="A125" t="s">
        <v>144</v>
      </c>
      <c r="B125" t="s">
        <v>10</v>
      </c>
      <c r="C125" t="s">
        <v>23</v>
      </c>
      <c r="D125" s="2">
        <v>14978.67</v>
      </c>
      <c r="E125">
        <v>16000</v>
      </c>
      <c r="F125" s="5">
        <v>1200</v>
      </c>
      <c r="G125" s="5">
        <v>350</v>
      </c>
      <c r="H125" s="5">
        <v>300</v>
      </c>
      <c r="I125" t="s">
        <v>12</v>
      </c>
      <c r="J125" s="2">
        <f t="shared" si="4"/>
        <v>1850</v>
      </c>
      <c r="K125" s="2">
        <f t="shared" si="5"/>
        <v>16828.669999999998</v>
      </c>
      <c r="L125" s="6">
        <f t="shared" si="6"/>
        <v>0.93616687499999995</v>
      </c>
      <c r="M125" t="str">
        <f t="shared" si="7"/>
        <v>Enquadrado</v>
      </c>
    </row>
    <row r="126" spans="1:13" x14ac:dyDescent="0.25">
      <c r="A126" t="s">
        <v>145</v>
      </c>
      <c r="B126" t="s">
        <v>17</v>
      </c>
      <c r="C126" t="s">
        <v>33</v>
      </c>
      <c r="D126" s="2">
        <v>12698.5</v>
      </c>
      <c r="E126">
        <v>15000</v>
      </c>
      <c r="F126" s="5">
        <v>1200</v>
      </c>
      <c r="G126" s="5">
        <v>500</v>
      </c>
      <c r="H126" s="5">
        <v>300</v>
      </c>
      <c r="I126" t="s">
        <v>12</v>
      </c>
      <c r="J126" s="2">
        <f t="shared" si="4"/>
        <v>2000</v>
      </c>
      <c r="K126" s="2">
        <f t="shared" si="5"/>
        <v>14698.5</v>
      </c>
      <c r="L126" s="6">
        <f t="shared" si="6"/>
        <v>0.84656666666666669</v>
      </c>
      <c r="M126" t="str">
        <f t="shared" si="7"/>
        <v>Abaixo do Piso</v>
      </c>
    </row>
    <row r="127" spans="1:13" x14ac:dyDescent="0.25">
      <c r="A127" t="s">
        <v>146</v>
      </c>
      <c r="B127" t="s">
        <v>14</v>
      </c>
      <c r="C127" t="s">
        <v>23</v>
      </c>
      <c r="D127" s="2">
        <v>14077.4</v>
      </c>
      <c r="E127">
        <v>16000</v>
      </c>
      <c r="F127" s="5">
        <v>1200</v>
      </c>
      <c r="G127" s="5">
        <v>350</v>
      </c>
      <c r="H127" s="5">
        <v>300</v>
      </c>
      <c r="I127" t="s">
        <v>12</v>
      </c>
      <c r="J127" s="2">
        <f t="shared" si="4"/>
        <v>1850</v>
      </c>
      <c r="K127" s="2">
        <f t="shared" si="5"/>
        <v>15927.4</v>
      </c>
      <c r="L127" s="6">
        <f t="shared" si="6"/>
        <v>0.87983749999999994</v>
      </c>
      <c r="M127" t="str">
        <f t="shared" si="7"/>
        <v>Enquadrado</v>
      </c>
    </row>
    <row r="128" spans="1:13" x14ac:dyDescent="0.25">
      <c r="A128" t="s">
        <v>147</v>
      </c>
      <c r="B128" t="s">
        <v>22</v>
      </c>
      <c r="C128" t="s">
        <v>11</v>
      </c>
      <c r="D128" s="2">
        <v>4706.6400000000003</v>
      </c>
      <c r="E128">
        <v>4500</v>
      </c>
      <c r="F128" s="5">
        <v>1200</v>
      </c>
      <c r="G128" s="5">
        <v>500</v>
      </c>
      <c r="H128" s="5">
        <v>300</v>
      </c>
      <c r="I128" t="s">
        <v>12</v>
      </c>
      <c r="J128" s="2">
        <f t="shared" si="4"/>
        <v>2000</v>
      </c>
      <c r="K128" s="2">
        <f t="shared" si="5"/>
        <v>6706.64</v>
      </c>
      <c r="L128" s="6">
        <f t="shared" si="6"/>
        <v>1.0459200000000002</v>
      </c>
      <c r="M128" t="str">
        <f t="shared" si="7"/>
        <v>Enquadrado</v>
      </c>
    </row>
    <row r="129" spans="1:13" x14ac:dyDescent="0.25">
      <c r="A129" t="s">
        <v>148</v>
      </c>
      <c r="B129" t="s">
        <v>22</v>
      </c>
      <c r="C129" t="s">
        <v>33</v>
      </c>
      <c r="D129" s="2">
        <v>17242.37</v>
      </c>
      <c r="E129">
        <v>15000</v>
      </c>
      <c r="F129" s="5">
        <v>1200</v>
      </c>
      <c r="G129" s="5">
        <v>750</v>
      </c>
      <c r="H129" s="5">
        <v>300</v>
      </c>
      <c r="I129" t="s">
        <v>12</v>
      </c>
      <c r="J129" s="2">
        <f t="shared" si="4"/>
        <v>2250</v>
      </c>
      <c r="K129" s="2">
        <f t="shared" si="5"/>
        <v>19492.37</v>
      </c>
      <c r="L129" s="6">
        <f t="shared" si="6"/>
        <v>1.1494913333333332</v>
      </c>
      <c r="M129" t="str">
        <f t="shared" si="7"/>
        <v>Enquadrado</v>
      </c>
    </row>
    <row r="130" spans="1:13" x14ac:dyDescent="0.25">
      <c r="A130" t="s">
        <v>149</v>
      </c>
      <c r="B130" t="s">
        <v>17</v>
      </c>
      <c r="C130" t="s">
        <v>20</v>
      </c>
      <c r="D130" s="2">
        <v>2146.08</v>
      </c>
      <c r="E130">
        <v>2500</v>
      </c>
      <c r="F130" s="5">
        <v>1200</v>
      </c>
      <c r="G130" s="5">
        <v>350</v>
      </c>
      <c r="H130" s="5">
        <v>300</v>
      </c>
      <c r="I130" t="s">
        <v>12</v>
      </c>
      <c r="J130" s="2">
        <f t="shared" si="4"/>
        <v>1850</v>
      </c>
      <c r="K130" s="2">
        <f t="shared" si="5"/>
        <v>3996.08</v>
      </c>
      <c r="L130" s="6">
        <f t="shared" si="6"/>
        <v>0.85843199999999997</v>
      </c>
      <c r="M130" t="str">
        <f t="shared" si="7"/>
        <v>Enquadrado</v>
      </c>
    </row>
    <row r="131" spans="1:13" x14ac:dyDescent="0.25">
      <c r="A131" t="s">
        <v>150</v>
      </c>
      <c r="B131" t="s">
        <v>17</v>
      </c>
      <c r="C131" t="s">
        <v>11</v>
      </c>
      <c r="D131" s="2">
        <v>4441.1899999999996</v>
      </c>
      <c r="E131">
        <v>4500</v>
      </c>
      <c r="F131" s="5">
        <v>1200</v>
      </c>
      <c r="G131" s="5">
        <v>350</v>
      </c>
      <c r="H131" s="5">
        <v>300</v>
      </c>
      <c r="I131" t="s">
        <v>12</v>
      </c>
      <c r="J131" s="2">
        <f t="shared" ref="J131:J151" si="8">SUM(F131:H131)</f>
        <v>1850</v>
      </c>
      <c r="K131" s="2">
        <f t="shared" ref="K131:K151" si="9">D131+J131</f>
        <v>6291.19</v>
      </c>
      <c r="L131" s="6">
        <f t="shared" ref="L131:L151" si="10">D131/E131</f>
        <v>0.98693111111111098</v>
      </c>
      <c r="M131" t="str">
        <f t="shared" ref="M131:M151" si="11">IF(L131&lt;0.85,"Abaixo do Piso", IF(L131&gt;1.15, "Acima do Teto","Enquadrado"))</f>
        <v>Enquadrado</v>
      </c>
    </row>
    <row r="132" spans="1:13" x14ac:dyDescent="0.25">
      <c r="A132" t="s">
        <v>151</v>
      </c>
      <c r="B132" t="s">
        <v>17</v>
      </c>
      <c r="C132" t="s">
        <v>15</v>
      </c>
      <c r="D132" s="2">
        <v>7122.93</v>
      </c>
      <c r="E132">
        <v>7500</v>
      </c>
      <c r="F132" s="5">
        <v>1200</v>
      </c>
      <c r="G132" s="5">
        <v>350</v>
      </c>
      <c r="H132" s="5">
        <v>300</v>
      </c>
      <c r="I132" t="s">
        <v>12</v>
      </c>
      <c r="J132" s="2">
        <f t="shared" si="8"/>
        <v>1850</v>
      </c>
      <c r="K132" s="2">
        <f t="shared" si="9"/>
        <v>8972.93</v>
      </c>
      <c r="L132" s="6">
        <f t="shared" si="10"/>
        <v>0.94972400000000001</v>
      </c>
      <c r="M132" t="str">
        <f t="shared" si="11"/>
        <v>Enquadrado</v>
      </c>
    </row>
    <row r="133" spans="1:13" x14ac:dyDescent="0.25">
      <c r="A133" t="s">
        <v>152</v>
      </c>
      <c r="B133" t="s">
        <v>22</v>
      </c>
      <c r="C133" t="s">
        <v>15</v>
      </c>
      <c r="D133" s="2">
        <v>6905.36</v>
      </c>
      <c r="E133">
        <v>7500</v>
      </c>
      <c r="F133" s="5">
        <v>1200</v>
      </c>
      <c r="G133" s="5">
        <v>350</v>
      </c>
      <c r="H133" s="5">
        <v>300</v>
      </c>
      <c r="I133" t="s">
        <v>12</v>
      </c>
      <c r="J133" s="2">
        <f t="shared" si="8"/>
        <v>1850</v>
      </c>
      <c r="K133" s="2">
        <f t="shared" si="9"/>
        <v>8755.36</v>
      </c>
      <c r="L133" s="6">
        <f t="shared" si="10"/>
        <v>0.92071466666666657</v>
      </c>
      <c r="M133" t="str">
        <f t="shared" si="11"/>
        <v>Enquadrado</v>
      </c>
    </row>
    <row r="134" spans="1:13" x14ac:dyDescent="0.25">
      <c r="A134" t="s">
        <v>153</v>
      </c>
      <c r="B134" t="s">
        <v>10</v>
      </c>
      <c r="C134" t="s">
        <v>15</v>
      </c>
      <c r="D134" s="2">
        <v>6509.6</v>
      </c>
      <c r="E134">
        <v>7500</v>
      </c>
      <c r="F134" s="5">
        <v>1200</v>
      </c>
      <c r="G134" s="5">
        <v>350</v>
      </c>
      <c r="H134" s="5">
        <v>300</v>
      </c>
      <c r="I134" t="s">
        <v>12</v>
      </c>
      <c r="J134" s="2">
        <f t="shared" si="8"/>
        <v>1850</v>
      </c>
      <c r="K134" s="2">
        <f t="shared" si="9"/>
        <v>8359.6</v>
      </c>
      <c r="L134" s="6">
        <f t="shared" si="10"/>
        <v>0.86794666666666676</v>
      </c>
      <c r="M134" t="str">
        <f t="shared" si="11"/>
        <v>Enquadrado</v>
      </c>
    </row>
    <row r="135" spans="1:13" x14ac:dyDescent="0.25">
      <c r="A135" t="s">
        <v>154</v>
      </c>
      <c r="B135" t="s">
        <v>27</v>
      </c>
      <c r="C135" t="s">
        <v>33</v>
      </c>
      <c r="D135" s="2">
        <v>16218.89</v>
      </c>
      <c r="E135">
        <v>15000</v>
      </c>
      <c r="F135" s="5">
        <v>1200</v>
      </c>
      <c r="G135" s="5">
        <v>500</v>
      </c>
      <c r="H135" s="5">
        <v>300</v>
      </c>
      <c r="I135" t="s">
        <v>12</v>
      </c>
      <c r="J135" s="2">
        <f t="shared" si="8"/>
        <v>2000</v>
      </c>
      <c r="K135" s="2">
        <f t="shared" si="9"/>
        <v>18218.89</v>
      </c>
      <c r="L135" s="6">
        <f t="shared" si="10"/>
        <v>1.0812593333333334</v>
      </c>
      <c r="M135" t="str">
        <f t="shared" si="11"/>
        <v>Enquadrado</v>
      </c>
    </row>
    <row r="136" spans="1:13" x14ac:dyDescent="0.25">
      <c r="A136" t="s">
        <v>155</v>
      </c>
      <c r="B136" t="s">
        <v>14</v>
      </c>
      <c r="C136" t="s">
        <v>11</v>
      </c>
      <c r="D136" s="2">
        <v>4583.57</v>
      </c>
      <c r="E136">
        <v>4500</v>
      </c>
      <c r="F136" s="5">
        <v>1200</v>
      </c>
      <c r="G136" s="5">
        <v>350</v>
      </c>
      <c r="H136" s="5">
        <v>300</v>
      </c>
      <c r="I136" t="s">
        <v>12</v>
      </c>
      <c r="J136" s="2">
        <f t="shared" si="8"/>
        <v>1850</v>
      </c>
      <c r="K136" s="2">
        <f t="shared" si="9"/>
        <v>6433.57</v>
      </c>
      <c r="L136" s="6">
        <f t="shared" si="10"/>
        <v>1.0185711111111111</v>
      </c>
      <c r="M136" t="str">
        <f t="shared" si="11"/>
        <v>Enquadrado</v>
      </c>
    </row>
    <row r="137" spans="1:13" x14ac:dyDescent="0.25">
      <c r="A137" t="s">
        <v>156</v>
      </c>
      <c r="B137" t="s">
        <v>22</v>
      </c>
      <c r="C137" t="s">
        <v>11</v>
      </c>
      <c r="D137" s="2">
        <v>4468.2</v>
      </c>
      <c r="E137">
        <v>4500</v>
      </c>
      <c r="F137" s="5">
        <v>1200</v>
      </c>
      <c r="G137" s="5">
        <v>750</v>
      </c>
      <c r="H137" s="5">
        <v>300</v>
      </c>
      <c r="I137" t="s">
        <v>12</v>
      </c>
      <c r="J137" s="2">
        <f t="shared" si="8"/>
        <v>2250</v>
      </c>
      <c r="K137" s="2">
        <f t="shared" si="9"/>
        <v>6718.2</v>
      </c>
      <c r="L137" s="6">
        <f t="shared" si="10"/>
        <v>0.99293333333333333</v>
      </c>
      <c r="M137" t="str">
        <f t="shared" si="11"/>
        <v>Enquadrado</v>
      </c>
    </row>
    <row r="138" spans="1:13" x14ac:dyDescent="0.25">
      <c r="A138" t="s">
        <v>157</v>
      </c>
      <c r="B138" t="s">
        <v>14</v>
      </c>
      <c r="C138" t="s">
        <v>11</v>
      </c>
      <c r="D138" s="2">
        <v>4307.04</v>
      </c>
      <c r="E138">
        <v>4500</v>
      </c>
      <c r="F138" s="5">
        <v>1200</v>
      </c>
      <c r="G138" s="5">
        <v>750</v>
      </c>
      <c r="H138" s="5">
        <v>300</v>
      </c>
      <c r="I138" t="s">
        <v>12</v>
      </c>
      <c r="J138" s="2">
        <f t="shared" si="8"/>
        <v>2250</v>
      </c>
      <c r="K138" s="2">
        <f t="shared" si="9"/>
        <v>6557.04</v>
      </c>
      <c r="L138" s="6">
        <f t="shared" si="10"/>
        <v>0.95711999999999997</v>
      </c>
      <c r="M138" t="str">
        <f t="shared" si="11"/>
        <v>Enquadrado</v>
      </c>
    </row>
    <row r="139" spans="1:13" x14ac:dyDescent="0.25">
      <c r="A139" t="s">
        <v>158</v>
      </c>
      <c r="B139" t="s">
        <v>10</v>
      </c>
      <c r="C139" t="s">
        <v>18</v>
      </c>
      <c r="D139" s="2">
        <v>9271.51</v>
      </c>
      <c r="E139">
        <v>11000</v>
      </c>
      <c r="F139" s="5">
        <v>1200</v>
      </c>
      <c r="G139" s="5">
        <v>350</v>
      </c>
      <c r="H139" s="5">
        <v>300</v>
      </c>
      <c r="I139" t="s">
        <v>12</v>
      </c>
      <c r="J139" s="2">
        <f t="shared" si="8"/>
        <v>1850</v>
      </c>
      <c r="K139" s="2">
        <f t="shared" si="9"/>
        <v>11121.51</v>
      </c>
      <c r="L139" s="6">
        <f t="shared" si="10"/>
        <v>0.84286454545454548</v>
      </c>
      <c r="M139" t="str">
        <f t="shared" si="11"/>
        <v>Abaixo do Piso</v>
      </c>
    </row>
    <row r="140" spans="1:13" x14ac:dyDescent="0.25">
      <c r="A140" t="s">
        <v>159</v>
      </c>
      <c r="B140" t="s">
        <v>10</v>
      </c>
      <c r="C140" t="s">
        <v>20</v>
      </c>
      <c r="D140" s="2">
        <v>2100.7399999999998</v>
      </c>
      <c r="E140">
        <v>2500</v>
      </c>
      <c r="F140" s="5">
        <v>1200</v>
      </c>
      <c r="G140" s="5">
        <v>750</v>
      </c>
      <c r="H140" s="5">
        <v>300</v>
      </c>
      <c r="I140" t="s">
        <v>12</v>
      </c>
      <c r="J140" s="2">
        <f t="shared" si="8"/>
        <v>2250</v>
      </c>
      <c r="K140" s="2">
        <f t="shared" si="9"/>
        <v>4350.74</v>
      </c>
      <c r="L140" s="6">
        <f t="shared" si="10"/>
        <v>0.84029599999999993</v>
      </c>
      <c r="M140" t="str">
        <f t="shared" si="11"/>
        <v>Abaixo do Piso</v>
      </c>
    </row>
    <row r="141" spans="1:13" x14ac:dyDescent="0.25">
      <c r="A141" t="s">
        <v>160</v>
      </c>
      <c r="B141" t="s">
        <v>10</v>
      </c>
      <c r="C141" t="s">
        <v>18</v>
      </c>
      <c r="D141" s="2">
        <v>12966.68</v>
      </c>
      <c r="E141">
        <v>11000</v>
      </c>
      <c r="F141" s="5">
        <v>1200</v>
      </c>
      <c r="G141" s="5">
        <v>500</v>
      </c>
      <c r="H141" s="5">
        <v>300</v>
      </c>
      <c r="I141" t="s">
        <v>12</v>
      </c>
      <c r="J141" s="2">
        <f t="shared" si="8"/>
        <v>2000</v>
      </c>
      <c r="K141" s="2">
        <f t="shared" si="9"/>
        <v>14966.68</v>
      </c>
      <c r="L141" s="6">
        <f t="shared" si="10"/>
        <v>1.178789090909091</v>
      </c>
      <c r="M141" t="str">
        <f t="shared" si="11"/>
        <v>Acima do Teto</v>
      </c>
    </row>
    <row r="142" spans="1:13" x14ac:dyDescent="0.25">
      <c r="A142" t="s">
        <v>161</v>
      </c>
      <c r="B142" t="s">
        <v>10</v>
      </c>
      <c r="C142" t="s">
        <v>18</v>
      </c>
      <c r="D142" s="2">
        <v>12018.04</v>
      </c>
      <c r="E142">
        <v>11000</v>
      </c>
      <c r="F142" s="5">
        <v>1200</v>
      </c>
      <c r="G142" s="5">
        <v>350</v>
      </c>
      <c r="H142" s="5">
        <v>300</v>
      </c>
      <c r="I142" t="s">
        <v>12</v>
      </c>
      <c r="J142" s="2">
        <f t="shared" si="8"/>
        <v>1850</v>
      </c>
      <c r="K142" s="2">
        <f t="shared" si="9"/>
        <v>13868.04</v>
      </c>
      <c r="L142" s="6">
        <f t="shared" si="10"/>
        <v>1.0925490909090909</v>
      </c>
      <c r="M142" t="str">
        <f t="shared" si="11"/>
        <v>Enquadrado</v>
      </c>
    </row>
    <row r="143" spans="1:13" x14ac:dyDescent="0.25">
      <c r="A143" t="s">
        <v>162</v>
      </c>
      <c r="B143" t="s">
        <v>22</v>
      </c>
      <c r="C143" t="s">
        <v>11</v>
      </c>
      <c r="D143" s="2">
        <v>3899.24</v>
      </c>
      <c r="E143">
        <v>4500</v>
      </c>
      <c r="F143" s="5">
        <v>1200</v>
      </c>
      <c r="G143" s="5">
        <v>750</v>
      </c>
      <c r="H143" s="5">
        <v>300</v>
      </c>
      <c r="I143" t="s">
        <v>12</v>
      </c>
      <c r="J143" s="2">
        <f t="shared" si="8"/>
        <v>2250</v>
      </c>
      <c r="K143" s="2">
        <f t="shared" si="9"/>
        <v>6149.24</v>
      </c>
      <c r="L143" s="6">
        <f t="shared" si="10"/>
        <v>0.8664977777777777</v>
      </c>
      <c r="M143" t="str">
        <f t="shared" si="11"/>
        <v>Enquadrado</v>
      </c>
    </row>
    <row r="144" spans="1:13" x14ac:dyDescent="0.25">
      <c r="A144" t="s">
        <v>163</v>
      </c>
      <c r="B144" t="s">
        <v>22</v>
      </c>
      <c r="C144" t="s">
        <v>15</v>
      </c>
      <c r="D144" s="2">
        <v>7963.59</v>
      </c>
      <c r="E144">
        <v>7500</v>
      </c>
      <c r="F144" s="5">
        <v>1200</v>
      </c>
      <c r="G144" s="5">
        <v>500</v>
      </c>
      <c r="H144" s="5">
        <v>300</v>
      </c>
      <c r="I144" t="s">
        <v>12</v>
      </c>
      <c r="J144" s="2">
        <f t="shared" si="8"/>
        <v>2000</v>
      </c>
      <c r="K144" s="2">
        <f t="shared" si="9"/>
        <v>9963.59</v>
      </c>
      <c r="L144" s="6">
        <f t="shared" si="10"/>
        <v>1.061812</v>
      </c>
      <c r="M144" t="str">
        <f t="shared" si="11"/>
        <v>Enquadrado</v>
      </c>
    </row>
    <row r="145" spans="1:13" x14ac:dyDescent="0.25">
      <c r="A145" t="s">
        <v>164</v>
      </c>
      <c r="B145" t="s">
        <v>14</v>
      </c>
      <c r="C145" t="s">
        <v>11</v>
      </c>
      <c r="D145" s="2">
        <v>4497.03</v>
      </c>
      <c r="E145">
        <v>4500</v>
      </c>
      <c r="F145" s="5">
        <v>1200</v>
      </c>
      <c r="G145" s="5">
        <v>350</v>
      </c>
      <c r="H145" s="5">
        <v>300</v>
      </c>
      <c r="I145" t="s">
        <v>12</v>
      </c>
      <c r="J145" s="2">
        <f t="shared" si="8"/>
        <v>1850</v>
      </c>
      <c r="K145" s="2">
        <f t="shared" si="9"/>
        <v>6347.03</v>
      </c>
      <c r="L145" s="6">
        <f t="shared" si="10"/>
        <v>0.9993399999999999</v>
      </c>
      <c r="M145" t="str">
        <f t="shared" si="11"/>
        <v>Enquadrado</v>
      </c>
    </row>
    <row r="146" spans="1:13" x14ac:dyDescent="0.25">
      <c r="A146" t="s">
        <v>165</v>
      </c>
      <c r="B146" t="s">
        <v>14</v>
      </c>
      <c r="C146" t="s">
        <v>18</v>
      </c>
      <c r="D146" s="2">
        <v>12394.64</v>
      </c>
      <c r="E146">
        <v>11000</v>
      </c>
      <c r="F146" s="5">
        <v>1200</v>
      </c>
      <c r="G146" s="5">
        <v>500</v>
      </c>
      <c r="H146" s="5">
        <v>300</v>
      </c>
      <c r="I146" t="s">
        <v>12</v>
      </c>
      <c r="J146" s="2">
        <f t="shared" si="8"/>
        <v>2000</v>
      </c>
      <c r="K146" s="2">
        <f t="shared" si="9"/>
        <v>14394.64</v>
      </c>
      <c r="L146" s="6">
        <f t="shared" si="10"/>
        <v>1.1267854545454545</v>
      </c>
      <c r="M146" t="str">
        <f t="shared" si="11"/>
        <v>Enquadrado</v>
      </c>
    </row>
    <row r="147" spans="1:13" x14ac:dyDescent="0.25">
      <c r="A147" t="s">
        <v>166</v>
      </c>
      <c r="B147" t="s">
        <v>27</v>
      </c>
      <c r="C147" t="s">
        <v>15</v>
      </c>
      <c r="D147" s="2">
        <v>7239.4</v>
      </c>
      <c r="E147">
        <v>7500</v>
      </c>
      <c r="F147" s="5">
        <v>1200</v>
      </c>
      <c r="G147" s="5">
        <v>350</v>
      </c>
      <c r="H147" s="5">
        <v>300</v>
      </c>
      <c r="I147" t="s">
        <v>12</v>
      </c>
      <c r="J147" s="2">
        <f t="shared" si="8"/>
        <v>1850</v>
      </c>
      <c r="K147" s="2">
        <f t="shared" si="9"/>
        <v>9089.4</v>
      </c>
      <c r="L147" s="6">
        <f t="shared" si="10"/>
        <v>0.9652533333333333</v>
      </c>
      <c r="M147" t="str">
        <f t="shared" si="11"/>
        <v>Enquadrado</v>
      </c>
    </row>
    <row r="148" spans="1:13" x14ac:dyDescent="0.25">
      <c r="A148" t="s">
        <v>167</v>
      </c>
      <c r="B148" t="s">
        <v>10</v>
      </c>
      <c r="C148" t="s">
        <v>20</v>
      </c>
      <c r="D148" s="2">
        <v>2608.2800000000002</v>
      </c>
      <c r="E148">
        <v>2500</v>
      </c>
      <c r="F148" s="5">
        <v>1200</v>
      </c>
      <c r="G148" s="5">
        <v>500</v>
      </c>
      <c r="H148" s="5">
        <v>300</v>
      </c>
      <c r="I148" t="s">
        <v>12</v>
      </c>
      <c r="J148" s="2">
        <f t="shared" si="8"/>
        <v>2000</v>
      </c>
      <c r="K148" s="2">
        <f t="shared" si="9"/>
        <v>4608.2800000000007</v>
      </c>
      <c r="L148" s="6">
        <f t="shared" si="10"/>
        <v>1.043312</v>
      </c>
      <c r="M148" t="str">
        <f t="shared" si="11"/>
        <v>Enquadrado</v>
      </c>
    </row>
    <row r="149" spans="1:13" x14ac:dyDescent="0.25">
      <c r="A149" t="s">
        <v>168</v>
      </c>
      <c r="B149" t="s">
        <v>17</v>
      </c>
      <c r="C149" t="s">
        <v>11</v>
      </c>
      <c r="D149" s="2">
        <v>5278.35</v>
      </c>
      <c r="E149">
        <v>4500</v>
      </c>
      <c r="F149" s="5">
        <v>1200</v>
      </c>
      <c r="G149" s="5">
        <v>500</v>
      </c>
      <c r="H149" s="5">
        <v>300</v>
      </c>
      <c r="I149" t="s">
        <v>12</v>
      </c>
      <c r="J149" s="2">
        <f t="shared" si="8"/>
        <v>2000</v>
      </c>
      <c r="K149" s="2">
        <f t="shared" si="9"/>
        <v>7278.35</v>
      </c>
      <c r="L149" s="6">
        <f t="shared" si="10"/>
        <v>1.1729666666666667</v>
      </c>
      <c r="M149" t="str">
        <f t="shared" si="11"/>
        <v>Acima do Teto</v>
      </c>
    </row>
    <row r="150" spans="1:13" x14ac:dyDescent="0.25">
      <c r="A150" t="s">
        <v>169</v>
      </c>
      <c r="B150" t="s">
        <v>27</v>
      </c>
      <c r="C150" t="s">
        <v>15</v>
      </c>
      <c r="D150" s="2">
        <v>6395.71</v>
      </c>
      <c r="E150">
        <v>7500</v>
      </c>
      <c r="F150" s="5">
        <v>1200</v>
      </c>
      <c r="G150" s="5">
        <v>500</v>
      </c>
      <c r="H150" s="5">
        <v>300</v>
      </c>
      <c r="I150" t="s">
        <v>12</v>
      </c>
      <c r="J150" s="2">
        <f t="shared" si="8"/>
        <v>2000</v>
      </c>
      <c r="K150" s="2">
        <f t="shared" si="9"/>
        <v>8395.7099999999991</v>
      </c>
      <c r="L150" s="6">
        <f t="shared" si="10"/>
        <v>0.85276133333333337</v>
      </c>
      <c r="M150" t="str">
        <f t="shared" si="11"/>
        <v>Enquadrado</v>
      </c>
    </row>
    <row r="151" spans="1:13" x14ac:dyDescent="0.25">
      <c r="A151" t="s">
        <v>170</v>
      </c>
      <c r="B151" t="s">
        <v>22</v>
      </c>
      <c r="C151" t="s">
        <v>15</v>
      </c>
      <c r="D151" s="2">
        <v>8265.86</v>
      </c>
      <c r="E151">
        <v>7500</v>
      </c>
      <c r="F151" s="5">
        <v>1200</v>
      </c>
      <c r="G151" s="5">
        <v>350</v>
      </c>
      <c r="H151" s="5">
        <v>300</v>
      </c>
      <c r="I151" t="s">
        <v>12</v>
      </c>
      <c r="J151" s="2">
        <f t="shared" si="8"/>
        <v>1850</v>
      </c>
      <c r="K151" s="2">
        <f t="shared" si="9"/>
        <v>10115.86</v>
      </c>
      <c r="L151" s="6">
        <f t="shared" si="10"/>
        <v>1.1021146666666668</v>
      </c>
      <c r="M151" t="str">
        <f t="shared" si="11"/>
        <v>Enquadrado</v>
      </c>
    </row>
  </sheetData>
  <conditionalFormatting sqref="M2:M151">
    <cfRule type="containsText" dxfId="2" priority="1" stopIfTrue="1" operator="containsText" text="Acima do Teto">
      <formula>NOT(ISERROR(SEARCH("Acima do Teto",M2)))</formula>
    </cfRule>
    <cfRule type="containsText" dxfId="1" priority="2" stopIfTrue="1" operator="containsText" text="Enquadrado">
      <formula>NOT(ISERROR(SEARCH("Enquadrado",M2)))</formula>
    </cfRule>
    <cfRule type="containsText" dxfId="0" priority="3" stopIfTrue="1" operator="containsText" text="Abaixo do Piso">
      <formula>NOT(ISERROR(SEARCH("Abaixo do Piso",M2)))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Rewards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</dc:creator>
  <cp:lastModifiedBy>Usuário</cp:lastModifiedBy>
  <dcterms:created xsi:type="dcterms:W3CDTF">2026-10-10T20:20:41Z</dcterms:created>
  <dcterms:modified xsi:type="dcterms:W3CDTF">2026-10-12T18:25:36Z</dcterms:modified>
</cp:coreProperties>
</file>